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1715"/>
  </bookViews>
  <sheets>
    <sheet name="Лист1" sheetId="1" r:id="rId1"/>
    <sheet name="Лист2" sheetId="2" r:id="rId2"/>
  </sheets>
  <externalReferences>
    <externalReference r:id="rId3"/>
    <externalReference r:id="rId4"/>
  </externalReferenc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2" l="1"/>
  <c r="A32" i="2"/>
  <c r="A31" i="2"/>
  <c r="AE30" i="2"/>
  <c r="F30" i="2"/>
  <c r="A30" i="2"/>
  <c r="AE29" i="2"/>
  <c r="F29" i="2"/>
  <c r="A29" i="2"/>
  <c r="AE28" i="2"/>
  <c r="F28" i="2"/>
  <c r="A28" i="2"/>
  <c r="AE27" i="2"/>
  <c r="F27" i="2"/>
  <c r="A27" i="2"/>
  <c r="AE26" i="2"/>
  <c r="F26" i="2"/>
  <c r="A26" i="2"/>
  <c r="AE25" i="2"/>
  <c r="F25" i="2"/>
  <c r="A25" i="2"/>
  <c r="AE24" i="2"/>
  <c r="I24" i="2"/>
  <c r="F24" i="2"/>
  <c r="AE23" i="2"/>
  <c r="AE22" i="2"/>
  <c r="AA22" i="2"/>
  <c r="W22" i="2"/>
  <c r="Q22" i="2"/>
  <c r="I22" i="2"/>
  <c r="D22" i="2"/>
  <c r="AE21" i="2"/>
  <c r="AA21" i="2"/>
  <c r="W21" i="2"/>
  <c r="Q21" i="2"/>
  <c r="I21" i="2"/>
  <c r="D21" i="2"/>
  <c r="A21" i="2"/>
  <c r="AE20" i="2"/>
  <c r="AA20" i="2"/>
  <c r="W20" i="2"/>
  <c r="Q20" i="2"/>
  <c r="I20" i="2"/>
  <c r="D20" i="2"/>
  <c r="A20" i="2"/>
  <c r="AE19" i="2"/>
  <c r="AA19" i="2"/>
  <c r="W19" i="2"/>
  <c r="Q19" i="2"/>
  <c r="I19" i="2"/>
  <c r="D19" i="2"/>
  <c r="A19" i="2"/>
  <c r="AE18" i="2"/>
  <c r="AA18" i="2"/>
  <c r="W18" i="2"/>
  <c r="Q18" i="2"/>
  <c r="I18" i="2"/>
  <c r="D18" i="2"/>
  <c r="A18" i="2"/>
  <c r="AE17" i="2"/>
  <c r="AA17" i="2"/>
  <c r="W17" i="2"/>
  <c r="Q17" i="2"/>
  <c r="I17" i="2"/>
  <c r="A17" i="2"/>
  <c r="AE16" i="2"/>
  <c r="AA16" i="2"/>
  <c r="W16" i="2"/>
  <c r="Q16" i="2"/>
  <c r="I16" i="2"/>
  <c r="D16" i="2"/>
  <c r="A16" i="2"/>
  <c r="CU3" i="1"/>
  <c r="CK3" i="1"/>
  <c r="BQ3" i="1"/>
  <c r="DX2" i="1"/>
  <c r="DW2" i="1"/>
  <c r="DV2" i="1"/>
  <c r="DT2" i="1"/>
  <c r="DS2" i="1"/>
  <c r="DR2" i="1"/>
  <c r="DP2" i="1"/>
  <c r="DO2" i="1"/>
  <c r="DN2" i="1"/>
  <c r="DM2" i="1"/>
  <c r="DL2" i="1"/>
  <c r="DK2" i="1"/>
  <c r="DJ2" i="1"/>
  <c r="DI2" i="1"/>
  <c r="DG2" i="1"/>
  <c r="DE2" i="1"/>
  <c r="DD2" i="1"/>
  <c r="DC2" i="1"/>
  <c r="DB2" i="1"/>
  <c r="DA2" i="1"/>
  <c r="CX2" i="1"/>
  <c r="CW2" i="1"/>
  <c r="CU2" i="1"/>
  <c r="CT2" i="1"/>
  <c r="CR2" i="1"/>
  <c r="CQ2" i="1"/>
</calcChain>
</file>

<file path=xl/sharedStrings.xml><?xml version="1.0" encoding="utf-8"?>
<sst xmlns="http://schemas.openxmlformats.org/spreadsheetml/2006/main" count="238" uniqueCount="188">
  <si>
    <t>#ID</t>
  </si>
  <si>
    <t>History</t>
  </si>
  <si>
    <t>Full name</t>
  </si>
  <si>
    <t>Date of brith</t>
  </si>
  <si>
    <t>Adress</t>
  </si>
  <si>
    <t>Telephone</t>
  </si>
  <si>
    <t>Male or Female</t>
  </si>
  <si>
    <t>Consanguineous
marriage</t>
  </si>
  <si>
    <t>If yes, describe</t>
  </si>
  <si>
    <t>Hereditary diseases in families</t>
  </si>
  <si>
    <t>Pragnancy</t>
  </si>
  <si>
    <t>childbrith</t>
  </si>
  <si>
    <t>Gestation period</t>
  </si>
  <si>
    <t>Motor development of the child</t>
  </si>
  <si>
    <t>Cognitive development of the child</t>
  </si>
  <si>
    <t>Behavior</t>
  </si>
  <si>
    <t>When did the first seizure occur?</t>
  </si>
  <si>
    <t>How long duration</t>
  </si>
  <si>
    <t>Developmental delay  before the first seizure.</t>
  </si>
  <si>
    <t>Developmental delay  after the first seizure.</t>
  </si>
  <si>
    <t>Only Developmental delay</t>
  </si>
  <si>
    <t>Developmental  delay and epilepsy</t>
  </si>
  <si>
    <t>Focal motor phenomen</t>
  </si>
  <si>
    <t>Generalized(G)</t>
  </si>
  <si>
    <t>Epilepsy / Syndrome</t>
  </si>
  <si>
    <t>MRI findings</t>
  </si>
  <si>
    <t>Provacation factors for seizures</t>
  </si>
  <si>
    <t>EEG Findings</t>
  </si>
  <si>
    <t>ASM</t>
  </si>
  <si>
    <t>Dose &amp; Response</t>
  </si>
  <si>
    <t>Side effects</t>
  </si>
  <si>
    <t xml:space="preserve">Anti-hormonal therapy. </t>
  </si>
  <si>
    <t>Genetic Testing for Epilepsy
WES</t>
  </si>
  <si>
    <t>Pathogenic</t>
  </si>
  <si>
    <t>Like pathogenic</t>
  </si>
  <si>
    <t>VUS</t>
  </si>
  <si>
    <t>Was any medication missed during the treatment period?</t>
  </si>
  <si>
    <t>if yes</t>
  </si>
  <si>
    <t>What other medications triggered the child's attack?</t>
  </si>
  <si>
    <t>Farmacoresistant</t>
  </si>
  <si>
    <t xml:space="preserve">Monotherapy </t>
  </si>
  <si>
    <t>Duotherapy</t>
  </si>
  <si>
    <t>Polyteraphy</t>
  </si>
  <si>
    <t>IL-6</t>
  </si>
  <si>
    <t>IL-1</t>
  </si>
  <si>
    <t>IL-10</t>
  </si>
  <si>
    <t>TNF alfa</t>
  </si>
  <si>
    <t>TTG</t>
  </si>
  <si>
    <t>T4 erkin</t>
  </si>
  <si>
    <t>Kartizol</t>
  </si>
  <si>
    <t>30-33</t>
  </si>
  <si>
    <t>34-37</t>
  </si>
  <si>
    <t>38-40</t>
  </si>
  <si>
    <t>Normal motoric development</t>
  </si>
  <si>
    <t>Hypotonia</t>
  </si>
  <si>
    <t>Hypertonus</t>
  </si>
  <si>
    <t>Normal cognitiv development</t>
  </si>
  <si>
    <t>Learning disability</t>
  </si>
  <si>
    <t>Mental 
disability</t>
  </si>
  <si>
    <t>Normal behavior</t>
  </si>
  <si>
    <t>Hyperactive</t>
  </si>
  <si>
    <t>Aggressive</t>
  </si>
  <si>
    <t>ASD</t>
  </si>
  <si>
    <t>Familial infantile convulsion 
whis parxysmal choreoatetosis</t>
  </si>
  <si>
    <t>FCD type1-2</t>
  </si>
  <si>
    <t>EIMFS- epilepsy of infansy
whis migrating focal seizures</t>
  </si>
  <si>
    <t>EOEE-early-onset epilrpic
encephalopathy</t>
  </si>
  <si>
    <t>EMAS-epilepsy whis 
myoclonic atonic seizure</t>
  </si>
  <si>
    <t>GGE</t>
  </si>
  <si>
    <t>Neuronal ceroid lypofuscinosis</t>
  </si>
  <si>
    <t>COEE-childhood onset
epileptic encephalopathy</t>
  </si>
  <si>
    <t>GEPD-generelized epilepsy
and paroxysmal dyskinesia</t>
  </si>
  <si>
    <t>Tuberous sclerosis</t>
  </si>
  <si>
    <t>microcephaly</t>
  </si>
  <si>
    <t>hemimegalencephaly</t>
  </si>
  <si>
    <t>Focal brain malformation</t>
  </si>
  <si>
    <t xml:space="preserve"> Polimicrogria</t>
  </si>
  <si>
    <t>Optic nerve atrophy</t>
  </si>
  <si>
    <t>Holoprosencephaly</t>
  </si>
  <si>
    <t>Heterotopia</t>
  </si>
  <si>
    <t>Hypothalamic hamartoma</t>
  </si>
  <si>
    <t>Leucodystrophy</t>
  </si>
  <si>
    <t>Lissencephaly</t>
  </si>
  <si>
    <t>vascularmalformationwithfocalcorticaldysplasia</t>
  </si>
  <si>
    <t>Cerebral venous sinus thrombosis</t>
  </si>
  <si>
    <t>FCD</t>
  </si>
  <si>
    <t>agenesis of corpus
 callosum</t>
  </si>
  <si>
    <t xml:space="preserve">Hypoplasia corpus callosum </t>
  </si>
  <si>
    <t>Ventriculomegaly</t>
  </si>
  <si>
    <t>gliosis</t>
  </si>
  <si>
    <t xml:space="preserve">Brain atrophy
</t>
  </si>
  <si>
    <t>Cerebellar atrophy</t>
  </si>
  <si>
    <t>Basal ganglia and/or thalamus lesions</t>
  </si>
  <si>
    <t>Hypoxic ischemic brain injury</t>
  </si>
  <si>
    <t>Hydrocephalus</t>
  </si>
  <si>
    <t>Fever</t>
  </si>
  <si>
    <t>Afebril infections</t>
  </si>
  <si>
    <t>vaccinations</t>
  </si>
  <si>
    <t>emotional stress</t>
  </si>
  <si>
    <t>Hot bathing</t>
  </si>
  <si>
    <t>Motor activity</t>
  </si>
  <si>
    <t>FED</t>
  </si>
  <si>
    <t>G</t>
  </si>
  <si>
    <t>FED+G</t>
  </si>
  <si>
    <t>SWA</t>
  </si>
  <si>
    <t>BS</t>
  </si>
  <si>
    <t>Normal</t>
  </si>
  <si>
    <t>ESES/SWAS</t>
  </si>
  <si>
    <t>Hypsarrhythmia</t>
  </si>
  <si>
    <t>BR</t>
  </si>
  <si>
    <t>CBZ</t>
  </si>
  <si>
    <t>CLB</t>
  </si>
  <si>
    <t>CZP</t>
  </si>
  <si>
    <t>ESM</t>
  </si>
  <si>
    <t>GBP</t>
  </si>
  <si>
    <t>LCM</t>
  </si>
  <si>
    <t>LEV</t>
  </si>
  <si>
    <t>LTG</t>
  </si>
  <si>
    <t>LZP</t>
  </si>
  <si>
    <t>VGB</t>
  </si>
  <si>
    <t>VPA</t>
  </si>
  <si>
    <t>ZNS</t>
  </si>
  <si>
    <t>NZP</t>
  </si>
  <si>
    <t>OXC</t>
  </si>
  <si>
    <t>PB</t>
  </si>
  <si>
    <t>PER</t>
  </si>
  <si>
    <t>PGB</t>
  </si>
  <si>
    <t>PHT</t>
  </si>
  <si>
    <t>RFN</t>
  </si>
  <si>
    <t>STM</t>
  </si>
  <si>
    <t>STP</t>
  </si>
  <si>
    <t>TPM</t>
  </si>
  <si>
    <t>nausea</t>
  </si>
  <si>
    <t>vomiting</t>
  </si>
  <si>
    <t>rash</t>
  </si>
  <si>
    <t>edema</t>
  </si>
  <si>
    <t>constipation</t>
  </si>
  <si>
    <t>diarrhea</t>
  </si>
  <si>
    <t>anerexia</t>
  </si>
  <si>
    <t>stomach pain</t>
  </si>
  <si>
    <t>hematologically</t>
  </si>
  <si>
    <t>obesity</t>
  </si>
  <si>
    <t>Methylprednisolone</t>
  </si>
  <si>
    <t>Prednisolone</t>
  </si>
  <si>
    <t>Dexamethasone</t>
  </si>
  <si>
    <t xml:space="preserve"> (ACTH)</t>
  </si>
  <si>
    <t>Hydrocortisone</t>
  </si>
  <si>
    <t>Familial infantile convulsions 
whisparxysmal choreoatetosis</t>
  </si>
  <si>
    <t xml:space="preserve">Patient registration card №________
</t>
  </si>
  <si>
    <t>History №</t>
  </si>
  <si>
    <t>date of brith</t>
  </si>
  <si>
    <t>address</t>
  </si>
  <si>
    <t>Date of examination</t>
  </si>
  <si>
    <t>Патология родовой деятельности</t>
  </si>
  <si>
    <t>Течение беременности</t>
  </si>
  <si>
    <t>Возраст матери на момент родов</t>
  </si>
  <si>
    <t>15-17</t>
  </si>
  <si>
    <t>18-20</t>
  </si>
  <si>
    <t>21-23</t>
  </si>
  <si>
    <t>24-26</t>
  </si>
  <si>
    <t>27-29</t>
  </si>
  <si>
    <t>30-32</t>
  </si>
  <si>
    <t>33-35</t>
  </si>
  <si>
    <t>36-38</t>
  </si>
  <si>
    <t>39-40</t>
  </si>
  <si>
    <t>40-42</t>
  </si>
  <si>
    <t>43-45</t>
  </si>
  <si>
    <t>46-48</t>
  </si>
  <si>
    <t>49-50</t>
  </si>
  <si>
    <t xml:space="preserve">Возраст отца </t>
  </si>
  <si>
    <t>Psychomotor development of the child</t>
  </si>
  <si>
    <t xml:space="preserve">Держал голову с </t>
  </si>
  <si>
    <t xml:space="preserve">переворачивался  с </t>
  </si>
  <si>
    <t xml:space="preserve">гулил с </t>
  </si>
  <si>
    <t xml:space="preserve">сидит с </t>
  </si>
  <si>
    <t xml:space="preserve">ползал с </t>
  </si>
  <si>
    <t xml:space="preserve">ходил  с  </t>
  </si>
  <si>
    <t xml:space="preserve">произносил слова с </t>
  </si>
  <si>
    <t xml:space="preserve">связывал слова с </t>
  </si>
  <si>
    <t>Epileptic History</t>
  </si>
  <si>
    <t>Types of seizures</t>
  </si>
  <si>
    <t>Simple febrile seizure</t>
  </si>
  <si>
    <t>absence</t>
  </si>
  <si>
    <t>Only Epilepsy</t>
  </si>
  <si>
    <t>Cystic lesions</t>
  </si>
  <si>
    <t>AKTG</t>
  </si>
  <si>
    <t>Natriy</t>
  </si>
  <si>
    <t>Kaliy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</si>
</sst>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6" formatCode="_-* #,##0.00\ &quot;soʻm&quot;_-;\-* #,##0.00\ &quot;soʻm&quot;_-;_-* &quot;-&quot;??\ &quot;soʻm&quot;_-;_-@_-"/>
  </numFmts>
  <fonts count="15" x14ac:knownFonts="1">
    <font>
      <sz val="11"/>
      <color theme="1"/>
      <name val="Calibri"/>
      <charset val="204"/>
      <scheme val="minor"/>
    </font>
    <font>
      <sz val="12"/>
      <color theme="1"/>
      <name val="Times New Roman"/>
      <charset val="204"/>
    </font>
    <font>
      <sz val="9"/>
      <color theme="1"/>
      <name val="Times New Roman"/>
      <charset val="204"/>
    </font>
    <font>
      <b/>
      <sz val="9"/>
      <color theme="1"/>
      <name val="Times New Roman"/>
      <charset val="204"/>
    </font>
    <font>
      <sz val="9"/>
      <color indexed="8"/>
      <name val="Times New Roman"/>
      <charset val="204"/>
    </font>
    <font>
      <sz val="9"/>
      <color theme="1"/>
      <name val="Times New Roman"/>
      <charset val="204"/>
    </font>
    <font>
      <b/>
      <sz val="11"/>
      <color theme="1"/>
      <name val="Calibri"/>
      <charset val="204"/>
    </font>
    <font>
      <sz val="11"/>
      <color theme="1"/>
      <name val="Calibri"/>
      <charset val="204"/>
    </font>
    <font>
      <b/>
      <sz val="11"/>
      <color theme="1"/>
      <name val="Calibri"/>
      <charset val="204"/>
      <scheme val="minor"/>
    </font>
    <font>
      <b/>
      <sz val="12"/>
      <color theme="1"/>
      <name val="Times New Roman"/>
      <charset val="204"/>
    </font>
    <font>
      <sz val="14"/>
      <color theme="1"/>
      <name val="Times New Roman"/>
      <charset val="204"/>
    </font>
    <font>
      <sz val="11"/>
      <color theme="1"/>
      <name val="Times New Roman"/>
      <charset val="204"/>
    </font>
    <font>
      <sz val="11"/>
      <color theme="1"/>
      <name val="Times New Roman"/>
      <charset val="204"/>
    </font>
    <font>
      <sz val="11"/>
      <name val="Times New Roman"/>
      <charset val="204"/>
    </font>
    <font>
      <sz val="11"/>
      <color theme="1"/>
      <name val="Calibri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3">
    <xf numFmtId="0" fontId="0" fillId="0" borderId="0"/>
    <xf numFmtId="166" fontId="14" fillId="0" borderId="0" applyFont="0" applyFill="0" applyBorder="0" applyAlignment="0" applyProtection="0"/>
    <xf numFmtId="0" fontId="1" fillId="0" borderId="0"/>
  </cellStyleXfs>
  <cellXfs count="239">
    <xf numFmtId="0" fontId="0" fillId="0" borderId="0" xfId="0"/>
    <xf numFmtId="0" fontId="1" fillId="0" borderId="1" xfId="2" applyBorder="1" applyAlignment="1">
      <alignment horizontal="center" vertical="center" wrapText="1"/>
    </xf>
    <xf numFmtId="0" fontId="1" fillId="0" borderId="1" xfId="2" applyBorder="1" applyAlignment="1">
      <alignment horizontal="center" vertical="center"/>
    </xf>
    <xf numFmtId="0" fontId="2" fillId="0" borderId="5" xfId="2" applyFont="1" applyBorder="1" applyAlignment="1">
      <alignment vertical="center"/>
    </xf>
    <xf numFmtId="0" fontId="2" fillId="0" borderId="1" xfId="2" applyFont="1" applyBorder="1" applyAlignment="1">
      <alignment vertical="center"/>
    </xf>
    <xf numFmtId="0" fontId="2" fillId="0" borderId="0" xfId="2" applyFont="1" applyBorder="1" applyAlignment="1">
      <alignment vertical="center"/>
    </xf>
    <xf numFmtId="0" fontId="2" fillId="0" borderId="7" xfId="2" applyFont="1" applyBorder="1" applyAlignment="1">
      <alignment vertical="center"/>
    </xf>
    <xf numFmtId="0" fontId="2" fillId="0" borderId="6" xfId="2" applyFont="1" applyBorder="1" applyAlignment="1">
      <alignment vertical="center"/>
    </xf>
    <xf numFmtId="0" fontId="2" fillId="0" borderId="8" xfId="2" applyFont="1" applyBorder="1" applyAlignment="1">
      <alignment vertical="center"/>
    </xf>
    <xf numFmtId="0" fontId="2" fillId="0" borderId="0" xfId="2" applyFont="1" applyBorder="1" applyAlignment="1">
      <alignment horizontal="center" vertical="center"/>
    </xf>
    <xf numFmtId="0" fontId="5" fillId="0" borderId="0" xfId="2" applyFont="1" applyBorder="1" applyAlignment="1">
      <alignment horizontal="center" vertical="center"/>
    </xf>
    <xf numFmtId="0" fontId="2" fillId="0" borderId="11" xfId="2" applyFont="1" applyBorder="1" applyAlignment="1">
      <alignment vertical="center"/>
    </xf>
    <xf numFmtId="0" fontId="2" fillId="2" borderId="5" xfId="2" applyFont="1" applyFill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 wrapText="1"/>
    </xf>
    <xf numFmtId="0" fontId="7" fillId="0" borderId="6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vertical="center" wrapText="1"/>
    </xf>
    <xf numFmtId="0" fontId="2" fillId="0" borderId="17" xfId="2" applyFont="1" applyBorder="1" applyAlignment="1">
      <alignment vertical="center"/>
    </xf>
    <xf numFmtId="0" fontId="2" fillId="0" borderId="18" xfId="2" applyFont="1" applyBorder="1" applyAlignment="1">
      <alignment vertical="center"/>
    </xf>
    <xf numFmtId="0" fontId="5" fillId="0" borderId="0" xfId="2" applyFont="1" applyBorder="1" applyAlignment="1">
      <alignment vertical="center"/>
    </xf>
    <xf numFmtId="0" fontId="2" fillId="0" borderId="19" xfId="2" applyFont="1" applyBorder="1" applyAlignment="1">
      <alignment vertical="center"/>
    </xf>
    <xf numFmtId="0" fontId="2" fillId="0" borderId="20" xfId="2" applyFont="1" applyBorder="1" applyAlignment="1">
      <alignment vertical="center"/>
    </xf>
    <xf numFmtId="0" fontId="2" fillId="0" borderId="12" xfId="2" applyFont="1" applyBorder="1" applyAlignment="1">
      <alignment vertical="center"/>
    </xf>
    <xf numFmtId="0" fontId="5" fillId="0" borderId="1" xfId="2" applyFont="1" applyBorder="1" applyAlignment="1">
      <alignment vertical="center"/>
    </xf>
    <xf numFmtId="0" fontId="5" fillId="0" borderId="11" xfId="2" applyFont="1" applyBorder="1" applyAlignment="1">
      <alignment vertical="center"/>
    </xf>
    <xf numFmtId="0" fontId="2" fillId="0" borderId="15" xfId="2" applyFont="1" applyBorder="1" applyAlignment="1">
      <alignment vertical="center"/>
    </xf>
    <xf numFmtId="0" fontId="2" fillId="0" borderId="16" xfId="2" applyFont="1" applyBorder="1" applyAlignment="1">
      <alignment vertical="center"/>
    </xf>
    <xf numFmtId="0" fontId="2" fillId="0" borderId="21" xfId="2" applyFont="1" applyBorder="1" applyAlignment="1">
      <alignment vertical="center"/>
    </xf>
    <xf numFmtId="0" fontId="10" fillId="0" borderId="21" xfId="2" applyFont="1" applyBorder="1" applyAlignment="1">
      <alignment vertical="center"/>
    </xf>
    <xf numFmtId="0" fontId="2" fillId="0" borderId="13" xfId="2" applyFont="1" applyBorder="1" applyAlignment="1">
      <alignment vertical="center"/>
    </xf>
    <xf numFmtId="0" fontId="0" fillId="0" borderId="22" xfId="0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40" xfId="0" applyFill="1" applyBorder="1" applyAlignment="1">
      <alignment horizontal="center" vertical="center"/>
    </xf>
    <xf numFmtId="0" fontId="0" fillId="0" borderId="41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23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2" fillId="2" borderId="6" xfId="0" applyFont="1" applyFill="1" applyBorder="1" applyAlignment="1">
      <alignment vertical="center" wrapText="1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49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 wrapText="1"/>
    </xf>
    <xf numFmtId="0" fontId="0" fillId="0" borderId="4" xfId="0" applyFill="1" applyBorder="1" applyAlignment="1">
      <alignment horizontal="center" vertical="center" wrapText="1"/>
    </xf>
    <xf numFmtId="0" fontId="12" fillId="2" borderId="39" xfId="0" applyFont="1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3" borderId="33" xfId="0" applyFont="1" applyFill="1" applyBorder="1" applyAlignment="1">
      <alignment horizontal="center" vertical="center"/>
    </xf>
    <xf numFmtId="0" fontId="0" fillId="3" borderId="34" xfId="0" applyFont="1" applyFill="1" applyBorder="1" applyAlignment="1">
      <alignment horizontal="center" vertical="center"/>
    </xf>
    <xf numFmtId="0" fontId="0" fillId="3" borderId="35" xfId="0" applyFont="1" applyFill="1" applyBorder="1" applyAlignment="1">
      <alignment horizontal="center" vertical="center"/>
    </xf>
    <xf numFmtId="0" fontId="11" fillId="3" borderId="34" xfId="0" applyFont="1" applyFill="1" applyBorder="1" applyAlignment="1">
      <alignment horizontal="center" vertical="center"/>
    </xf>
    <xf numFmtId="0" fontId="11" fillId="3" borderId="42" xfId="0" applyFont="1" applyFill="1" applyBorder="1" applyAlignment="1">
      <alignment horizontal="center" vertical="center"/>
    </xf>
    <xf numFmtId="0" fontId="11" fillId="3" borderId="43" xfId="0" applyFont="1" applyFill="1" applyBorder="1" applyAlignment="1">
      <alignment horizontal="center" vertical="center"/>
    </xf>
    <xf numFmtId="0" fontId="11" fillId="3" borderId="44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  <xf numFmtId="0" fontId="8" fillId="3" borderId="46" xfId="0" applyFont="1" applyFill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 wrapText="1"/>
    </xf>
    <xf numFmtId="0" fontId="8" fillId="3" borderId="34" xfId="0" applyFont="1" applyFill="1" applyBorder="1" applyAlignment="1">
      <alignment horizontal="center" vertical="center" wrapText="1"/>
    </xf>
    <xf numFmtId="0" fontId="0" fillId="3" borderId="42" xfId="0" applyFont="1" applyFill="1" applyBorder="1" applyAlignment="1">
      <alignment horizontal="center" vertical="center"/>
    </xf>
    <xf numFmtId="0" fontId="0" fillId="3" borderId="43" xfId="0" applyFont="1" applyFill="1" applyBorder="1" applyAlignment="1">
      <alignment horizontal="center" vertical="center"/>
    </xf>
    <xf numFmtId="0" fontId="0" fillId="3" borderId="46" xfId="0" applyFont="1" applyFill="1" applyBorder="1" applyAlignment="1">
      <alignment horizontal="center" vertical="center"/>
    </xf>
    <xf numFmtId="0" fontId="0" fillId="3" borderId="45" xfId="0" applyFont="1" applyFill="1" applyBorder="1" applyAlignment="1">
      <alignment horizontal="center" vertical="center"/>
    </xf>
    <xf numFmtId="0" fontId="0" fillId="3" borderId="44" xfId="0" applyFont="1" applyFill="1" applyBorder="1" applyAlignment="1">
      <alignment horizontal="center" vertical="center"/>
    </xf>
    <xf numFmtId="0" fontId="11" fillId="3" borderId="33" xfId="0" applyFont="1" applyFill="1" applyBorder="1" applyAlignment="1">
      <alignment horizontal="center" vertical="center" wrapText="1"/>
    </xf>
    <xf numFmtId="0" fontId="11" fillId="3" borderId="34" xfId="0" applyFont="1" applyFill="1" applyBorder="1" applyAlignment="1">
      <alignment horizontal="center" vertical="center" wrapText="1"/>
    </xf>
    <xf numFmtId="0" fontId="11" fillId="3" borderId="35" xfId="0" applyFont="1" applyFill="1" applyBorder="1" applyAlignment="1">
      <alignment horizontal="center" vertical="center" wrapText="1"/>
    </xf>
    <xf numFmtId="0" fontId="6" fillId="3" borderId="26" xfId="0" applyFont="1" applyFill="1" applyBorder="1" applyAlignment="1">
      <alignment horizontal="center" vertical="center" wrapText="1"/>
    </xf>
    <xf numFmtId="0" fontId="6" fillId="3" borderId="28" xfId="0" applyFont="1" applyFill="1" applyBorder="1" applyAlignment="1">
      <alignment horizontal="center" vertical="center" wrapText="1"/>
    </xf>
    <xf numFmtId="0" fontId="6" fillId="3" borderId="30" xfId="0" applyFont="1" applyFill="1" applyBorder="1" applyAlignment="1">
      <alignment horizontal="center" vertical="center" wrapText="1"/>
    </xf>
    <xf numFmtId="0" fontId="6" fillId="3" borderId="27" xfId="0" applyFont="1" applyFill="1" applyBorder="1" applyAlignment="1">
      <alignment horizontal="center" vertical="center" wrapText="1"/>
    </xf>
    <xf numFmtId="0" fontId="6" fillId="3" borderId="29" xfId="0" applyFont="1" applyFill="1" applyBorder="1" applyAlignment="1">
      <alignment horizontal="center" vertical="center" wrapText="1"/>
    </xf>
    <xf numFmtId="0" fontId="6" fillId="3" borderId="31" xfId="0" applyFont="1" applyFill="1" applyBorder="1" applyAlignment="1">
      <alignment horizontal="center" vertical="center" wrapText="1"/>
    </xf>
    <xf numFmtId="0" fontId="6" fillId="3" borderId="32" xfId="0" applyFont="1" applyFill="1" applyBorder="1" applyAlignment="1">
      <alignment horizontal="center" vertical="center" wrapText="1"/>
    </xf>
    <xf numFmtId="0" fontId="6" fillId="3" borderId="36" xfId="0" applyFont="1" applyFill="1" applyBorder="1" applyAlignment="1">
      <alignment horizontal="center" vertical="center" wrapText="1"/>
    </xf>
    <xf numFmtId="0" fontId="6" fillId="3" borderId="39" xfId="0" applyFont="1" applyFill="1" applyBorder="1" applyAlignment="1">
      <alignment horizontal="center" vertical="center" wrapText="1"/>
    </xf>
    <xf numFmtId="0" fontId="0" fillId="4" borderId="37" xfId="0" applyFont="1" applyFill="1" applyBorder="1" applyAlignment="1">
      <alignment horizontal="center" vertical="center"/>
    </xf>
    <xf numFmtId="0" fontId="0" fillId="4" borderId="30" xfId="0" applyFont="1" applyFill="1" applyBorder="1" applyAlignment="1">
      <alignment horizontal="center" vertical="center"/>
    </xf>
    <xf numFmtId="0" fontId="0" fillId="4" borderId="9" xfId="0" applyFont="1" applyFill="1" applyBorder="1" applyAlignment="1">
      <alignment horizontal="center" vertical="center"/>
    </xf>
    <xf numFmtId="0" fontId="0" fillId="4" borderId="31" xfId="0" applyFont="1" applyFill="1" applyBorder="1" applyAlignment="1">
      <alignment horizontal="center" vertical="center"/>
    </xf>
    <xf numFmtId="0" fontId="0" fillId="4" borderId="38" xfId="0" applyFont="1" applyFill="1" applyBorder="1" applyAlignment="1">
      <alignment horizontal="center" vertical="center"/>
    </xf>
    <xf numFmtId="0" fontId="0" fillId="4" borderId="39" xfId="0" applyFont="1" applyFill="1" applyBorder="1" applyAlignment="1">
      <alignment horizontal="center" vertical="center"/>
    </xf>
    <xf numFmtId="0" fontId="6" fillId="5" borderId="37" xfId="0" applyFont="1" applyFill="1" applyBorder="1" applyAlignment="1">
      <alignment horizontal="center" vertical="center" wrapText="1"/>
    </xf>
    <xf numFmtId="0" fontId="6" fillId="5" borderId="30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6" fillId="5" borderId="31" xfId="0" applyFont="1" applyFill="1" applyBorder="1" applyAlignment="1">
      <alignment horizontal="center" vertical="center" wrapText="1"/>
    </xf>
    <xf numFmtId="0" fontId="8" fillId="5" borderId="9" xfId="0" applyFont="1" applyFill="1" applyBorder="1" applyAlignment="1">
      <alignment horizontal="center" vertical="center" wrapText="1"/>
    </xf>
    <xf numFmtId="0" fontId="8" fillId="5" borderId="31" xfId="0" applyFont="1" applyFill="1" applyBorder="1" applyAlignment="1">
      <alignment horizontal="center" vertical="center" wrapText="1"/>
    </xf>
    <xf numFmtId="0" fontId="8" fillId="5" borderId="38" xfId="0" applyFont="1" applyFill="1" applyBorder="1" applyAlignment="1">
      <alignment horizontal="center" vertical="center" wrapText="1"/>
    </xf>
    <xf numFmtId="0" fontId="8" fillId="5" borderId="39" xfId="0" applyFont="1" applyFill="1" applyBorder="1" applyAlignment="1">
      <alignment horizontal="center" vertical="center" wrapText="1"/>
    </xf>
    <xf numFmtId="0" fontId="11" fillId="4" borderId="37" xfId="0" applyFont="1" applyFill="1" applyBorder="1" applyAlignment="1">
      <alignment horizontal="center" vertical="center"/>
    </xf>
    <xf numFmtId="0" fontId="11" fillId="4" borderId="30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11" fillId="4" borderId="31" xfId="0" applyFont="1" applyFill="1" applyBorder="1" applyAlignment="1">
      <alignment horizontal="center" vertical="center"/>
    </xf>
    <xf numFmtId="0" fontId="0" fillId="5" borderId="37" xfId="0" applyFont="1" applyFill="1" applyBorder="1" applyAlignment="1">
      <alignment horizontal="center" vertical="center" wrapText="1"/>
    </xf>
    <xf numFmtId="0" fontId="0" fillId="5" borderId="30" xfId="0" applyFont="1" applyFill="1" applyBorder="1" applyAlignment="1">
      <alignment horizontal="center" vertical="center" wrapText="1"/>
    </xf>
    <xf numFmtId="0" fontId="0" fillId="5" borderId="9" xfId="0" applyFont="1" applyFill="1" applyBorder="1" applyAlignment="1">
      <alignment horizontal="center" vertical="center" wrapText="1"/>
    </xf>
    <xf numFmtId="0" fontId="0" fillId="5" borderId="31" xfId="0" applyFont="1" applyFill="1" applyBorder="1" applyAlignment="1">
      <alignment horizontal="center" vertical="center" wrapText="1"/>
    </xf>
    <xf numFmtId="0" fontId="0" fillId="5" borderId="9" xfId="0" applyFont="1" applyFill="1" applyBorder="1" applyAlignment="1">
      <alignment horizontal="center" vertical="center"/>
    </xf>
    <xf numFmtId="0" fontId="0" fillId="5" borderId="31" xfId="0" applyFont="1" applyFill="1" applyBorder="1" applyAlignment="1">
      <alignment horizontal="center" vertical="center"/>
    </xf>
    <xf numFmtId="0" fontId="0" fillId="5" borderId="38" xfId="0" applyFont="1" applyFill="1" applyBorder="1" applyAlignment="1">
      <alignment horizontal="center" vertical="center"/>
    </xf>
    <xf numFmtId="0" fontId="0" fillId="5" borderId="39" xfId="0" applyFont="1" applyFill="1" applyBorder="1" applyAlignment="1">
      <alignment horizontal="center" vertical="center"/>
    </xf>
    <xf numFmtId="0" fontId="0" fillId="4" borderId="37" xfId="0" applyFont="1" applyFill="1" applyBorder="1" applyAlignment="1">
      <alignment horizontal="center" vertical="center" wrapText="1"/>
    </xf>
    <xf numFmtId="0" fontId="0" fillId="4" borderId="30" xfId="0" applyFont="1" applyFill="1" applyBorder="1" applyAlignment="1">
      <alignment horizontal="center" vertical="center" wrapText="1"/>
    </xf>
    <xf numFmtId="0" fontId="0" fillId="4" borderId="9" xfId="0" applyFont="1" applyFill="1" applyBorder="1" applyAlignment="1">
      <alignment horizontal="center" vertical="center" wrapText="1"/>
    </xf>
    <xf numFmtId="0" fontId="0" fillId="4" borderId="31" xfId="0" applyFont="1" applyFill="1" applyBorder="1" applyAlignment="1">
      <alignment horizontal="center" vertical="center" wrapText="1"/>
    </xf>
    <xf numFmtId="0" fontId="0" fillId="4" borderId="38" xfId="0" applyFont="1" applyFill="1" applyBorder="1" applyAlignment="1">
      <alignment horizontal="center" vertical="center" wrapText="1"/>
    </xf>
    <xf numFmtId="0" fontId="0" fillId="4" borderId="39" xfId="0" applyFont="1" applyFill="1" applyBorder="1" applyAlignment="1">
      <alignment horizontal="center" vertical="center" wrapText="1"/>
    </xf>
    <xf numFmtId="0" fontId="8" fillId="3" borderId="26" xfId="0" applyFont="1" applyFill="1" applyBorder="1" applyAlignment="1">
      <alignment horizontal="center" vertical="center" wrapText="1"/>
    </xf>
    <xf numFmtId="0" fontId="8" fillId="3" borderId="28" xfId="0" applyFont="1" applyFill="1" applyBorder="1" applyAlignment="1">
      <alignment horizontal="center" vertical="center" wrapText="1"/>
    </xf>
    <xf numFmtId="0" fontId="8" fillId="3" borderId="30" xfId="0" applyFont="1" applyFill="1" applyBorder="1" applyAlignment="1">
      <alignment horizontal="center" vertical="center" wrapText="1"/>
    </xf>
    <xf numFmtId="0" fontId="8" fillId="3" borderId="27" xfId="0" applyFont="1" applyFill="1" applyBorder="1" applyAlignment="1">
      <alignment horizontal="center" vertical="center" wrapText="1"/>
    </xf>
    <xf numFmtId="0" fontId="8" fillId="3" borderId="29" xfId="0" applyFont="1" applyFill="1" applyBorder="1" applyAlignment="1">
      <alignment horizontal="center" vertical="center" wrapText="1"/>
    </xf>
    <xf numFmtId="0" fontId="8" fillId="3" borderId="31" xfId="0" applyFont="1" applyFill="1" applyBorder="1" applyAlignment="1">
      <alignment horizontal="center" vertical="center" wrapText="1"/>
    </xf>
    <xf numFmtId="0" fontId="8" fillId="3" borderId="32" xfId="0" applyFont="1" applyFill="1" applyBorder="1" applyAlignment="1">
      <alignment horizontal="center" vertical="center" wrapText="1"/>
    </xf>
    <xf numFmtId="0" fontId="8" fillId="3" borderId="36" xfId="0" applyFont="1" applyFill="1" applyBorder="1" applyAlignment="1">
      <alignment horizontal="center" vertical="center" wrapText="1"/>
    </xf>
    <xf numFmtId="0" fontId="8" fillId="3" borderId="39" xfId="0" applyFont="1" applyFill="1" applyBorder="1" applyAlignment="1">
      <alignment horizontal="center" vertical="center" wrapText="1"/>
    </xf>
    <xf numFmtId="0" fontId="12" fillId="4" borderId="9" xfId="0" applyFont="1" applyFill="1" applyBorder="1" applyAlignment="1">
      <alignment horizontal="center" vertical="center"/>
    </xf>
    <xf numFmtId="0" fontId="12" fillId="4" borderId="31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 wrapText="1"/>
    </xf>
    <xf numFmtId="0" fontId="12" fillId="4" borderId="31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horizontal="center" vertical="center" wrapText="1"/>
    </xf>
    <xf numFmtId="0" fontId="11" fillId="4" borderId="31" xfId="0" applyFont="1" applyFill="1" applyBorder="1" applyAlignment="1">
      <alignment horizontal="center" vertical="center" wrapText="1"/>
    </xf>
    <xf numFmtId="0" fontId="11" fillId="4" borderId="38" xfId="0" applyFont="1" applyFill="1" applyBorder="1" applyAlignment="1">
      <alignment horizontal="center" vertical="center" wrapText="1"/>
    </xf>
    <xf numFmtId="0" fontId="11" fillId="4" borderId="39" xfId="0" applyFont="1" applyFill="1" applyBorder="1" applyAlignment="1">
      <alignment horizontal="center" vertical="center" wrapText="1"/>
    </xf>
    <xf numFmtId="0" fontId="11" fillId="5" borderId="37" xfId="0" applyFont="1" applyFill="1" applyBorder="1" applyAlignment="1">
      <alignment horizontal="center" vertical="center" wrapText="1"/>
    </xf>
    <xf numFmtId="0" fontId="11" fillId="5" borderId="30" xfId="0" applyFont="1" applyFill="1" applyBorder="1" applyAlignment="1">
      <alignment horizontal="center" vertical="center" wrapText="1"/>
    </xf>
    <xf numFmtId="0" fontId="11" fillId="5" borderId="9" xfId="0" applyFont="1" applyFill="1" applyBorder="1" applyAlignment="1">
      <alignment horizontal="center" vertical="center" wrapText="1"/>
    </xf>
    <xf numFmtId="0" fontId="11" fillId="5" borderId="31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1" fillId="5" borderId="14" xfId="0" applyFont="1" applyFill="1" applyBorder="1" applyAlignment="1">
      <alignment horizontal="center" vertical="center" wrapText="1"/>
    </xf>
    <xf numFmtId="0" fontId="11" fillId="5" borderId="47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 wrapText="1"/>
    </xf>
    <xf numFmtId="0" fontId="12" fillId="4" borderId="48" xfId="0" applyFont="1" applyFill="1" applyBorder="1" applyAlignment="1">
      <alignment horizontal="center" vertical="center" wrapText="1"/>
    </xf>
    <xf numFmtId="0" fontId="12" fillId="4" borderId="47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166" fontId="12" fillId="5" borderId="9" xfId="1" applyFont="1" applyFill="1" applyBorder="1" applyAlignment="1">
      <alignment horizontal="center" vertical="center" wrapText="1"/>
    </xf>
    <xf numFmtId="166" fontId="12" fillId="5" borderId="31" xfId="1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vertical="center" wrapText="1"/>
    </xf>
    <xf numFmtId="0" fontId="12" fillId="4" borderId="37" xfId="0" applyFont="1" applyFill="1" applyBorder="1" applyAlignment="1">
      <alignment horizontal="center" vertical="center"/>
    </xf>
    <xf numFmtId="0" fontId="12" fillId="4" borderId="30" xfId="0" applyFont="1" applyFill="1" applyBorder="1" applyAlignment="1">
      <alignment horizontal="center" vertical="center"/>
    </xf>
    <xf numFmtId="0" fontId="12" fillId="4" borderId="6" xfId="0" applyFont="1" applyFill="1" applyBorder="1" applyAlignment="1">
      <alignment horizontal="center" vertical="center"/>
    </xf>
    <xf numFmtId="0" fontId="12" fillId="4" borderId="6" xfId="0" applyFont="1" applyFill="1" applyBorder="1" applyAlignment="1">
      <alignment vertical="center"/>
    </xf>
    <xf numFmtId="0" fontId="12" fillId="4" borderId="50" xfId="0" applyFont="1" applyFill="1" applyBorder="1" applyAlignment="1">
      <alignment horizontal="center" vertical="center"/>
    </xf>
    <xf numFmtId="0" fontId="12" fillId="4" borderId="51" xfId="0" applyFont="1" applyFill="1" applyBorder="1" applyAlignment="1">
      <alignment horizontal="center" vertical="center"/>
    </xf>
    <xf numFmtId="0" fontId="12" fillId="5" borderId="37" xfId="0" applyFont="1" applyFill="1" applyBorder="1" applyAlignment="1">
      <alignment horizontal="center" vertical="center"/>
    </xf>
    <xf numFmtId="0" fontId="12" fillId="5" borderId="30" xfId="0" applyFont="1" applyFill="1" applyBorder="1" applyAlignment="1">
      <alignment horizontal="center" vertical="center"/>
    </xf>
    <xf numFmtId="0" fontId="12" fillId="5" borderId="9" xfId="0" applyFont="1" applyFill="1" applyBorder="1" applyAlignment="1">
      <alignment horizontal="center" vertical="center"/>
    </xf>
    <xf numFmtId="0" fontId="12" fillId="5" borderId="29" xfId="0" applyFont="1" applyFill="1" applyBorder="1" applyAlignment="1">
      <alignment horizontal="center" vertical="center"/>
    </xf>
    <xf numFmtId="0" fontId="12" fillId="5" borderId="31" xfId="0" applyFont="1" applyFill="1" applyBorder="1" applyAlignment="1">
      <alignment horizontal="center" vertical="center"/>
    </xf>
    <xf numFmtId="0" fontId="12" fillId="5" borderId="38" xfId="0" applyFont="1" applyFill="1" applyBorder="1" applyAlignment="1">
      <alignment horizontal="center" vertical="center"/>
    </xf>
    <xf numFmtId="0" fontId="12" fillId="5" borderId="39" xfId="0" applyFont="1" applyFill="1" applyBorder="1" applyAlignment="1">
      <alignment horizontal="center" vertical="center"/>
    </xf>
    <xf numFmtId="0" fontId="12" fillId="4" borderId="38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4" borderId="37" xfId="0" applyFont="1" applyFill="1" applyBorder="1" applyAlignment="1">
      <alignment horizontal="center" vertical="center" wrapText="1"/>
    </xf>
    <xf numFmtId="0" fontId="12" fillId="4" borderId="30" xfId="0" applyFont="1" applyFill="1" applyBorder="1" applyAlignment="1">
      <alignment horizontal="center" vertical="center" wrapText="1"/>
    </xf>
    <xf numFmtId="0" fontId="12" fillId="4" borderId="38" xfId="0" applyFont="1" applyFill="1" applyBorder="1" applyAlignment="1">
      <alignment horizontal="center" vertical="center" wrapText="1"/>
    </xf>
    <xf numFmtId="0" fontId="12" fillId="4" borderId="39" xfId="0" applyFont="1" applyFill="1" applyBorder="1" applyAlignment="1">
      <alignment horizontal="center" vertical="center" wrapText="1"/>
    </xf>
    <xf numFmtId="0" fontId="12" fillId="3" borderId="26" xfId="0" applyFont="1" applyFill="1" applyBorder="1" applyAlignment="1">
      <alignment horizontal="center" vertical="center" wrapText="1"/>
    </xf>
    <xf numFmtId="0" fontId="12" fillId="3" borderId="28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0" fillId="3" borderId="27" xfId="0" applyFont="1" applyFill="1" applyBorder="1" applyAlignment="1">
      <alignment horizontal="center" vertical="center"/>
    </xf>
    <xf numFmtId="0" fontId="0" fillId="3" borderId="29" xfId="0" applyFont="1" applyFill="1" applyBorder="1" applyAlignment="1">
      <alignment horizontal="center" vertical="center"/>
    </xf>
    <xf numFmtId="0" fontId="0" fillId="3" borderId="31" xfId="0" applyFont="1" applyFill="1" applyBorder="1" applyAlignment="1">
      <alignment horizontal="center" vertical="center"/>
    </xf>
    <xf numFmtId="0" fontId="0" fillId="3" borderId="32" xfId="0" applyFont="1" applyFill="1" applyBorder="1" applyAlignment="1">
      <alignment horizontal="center" vertical="center"/>
    </xf>
    <xf numFmtId="0" fontId="0" fillId="3" borderId="36" xfId="0" applyFont="1" applyFill="1" applyBorder="1" applyAlignment="1">
      <alignment horizontal="center" vertical="center"/>
    </xf>
    <xf numFmtId="0" fontId="0" fillId="3" borderId="39" xfId="0" applyFont="1" applyFill="1" applyBorder="1" applyAlignment="1">
      <alignment horizontal="center" vertical="center"/>
    </xf>
    <xf numFmtId="0" fontId="0" fillId="3" borderId="26" xfId="0" applyFont="1" applyFill="1" applyBorder="1" applyAlignment="1">
      <alignment horizontal="center" vertical="center" wrapText="1"/>
    </xf>
    <xf numFmtId="0" fontId="0" fillId="3" borderId="28" xfId="0" applyFont="1" applyFill="1" applyBorder="1" applyAlignment="1">
      <alignment horizontal="center" vertical="center" wrapText="1"/>
    </xf>
    <xf numFmtId="0" fontId="0" fillId="3" borderId="30" xfId="0" applyFont="1" applyFill="1" applyBorder="1" applyAlignment="1">
      <alignment horizontal="center" vertical="center" wrapText="1"/>
    </xf>
    <xf numFmtId="0" fontId="0" fillId="3" borderId="32" xfId="0" applyFont="1" applyFill="1" applyBorder="1" applyAlignment="1">
      <alignment horizontal="center" vertical="center" wrapText="1"/>
    </xf>
    <xf numFmtId="0" fontId="0" fillId="3" borderId="36" xfId="0" applyFont="1" applyFill="1" applyBorder="1" applyAlignment="1">
      <alignment horizontal="center" vertical="center" wrapText="1"/>
    </xf>
    <xf numFmtId="0" fontId="0" fillId="3" borderId="39" xfId="0" applyFont="1" applyFill="1" applyBorder="1" applyAlignment="1">
      <alignment horizontal="center" vertical="center" wrapText="1"/>
    </xf>
    <xf numFmtId="0" fontId="13" fillId="3" borderId="27" xfId="0" applyFont="1" applyFill="1" applyBorder="1" applyAlignment="1">
      <alignment horizontal="center" vertical="center" wrapText="1"/>
    </xf>
    <xf numFmtId="0" fontId="13" fillId="3" borderId="29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0" fillId="3" borderId="27" xfId="0" applyFont="1" applyFill="1" applyBorder="1" applyAlignment="1">
      <alignment horizontal="center" vertical="center" wrapText="1"/>
    </xf>
    <xf numFmtId="0" fontId="0" fillId="3" borderId="29" xfId="0" applyFont="1" applyFill="1" applyBorder="1" applyAlignment="1">
      <alignment horizontal="center" vertical="center" wrapText="1"/>
    </xf>
    <xf numFmtId="0" fontId="0" fillId="3" borderId="31" xfId="0" applyFont="1" applyFill="1" applyBorder="1" applyAlignment="1">
      <alignment horizontal="center" vertical="center" wrapText="1"/>
    </xf>
    <xf numFmtId="0" fontId="0" fillId="3" borderId="27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1" fillId="0" borderId="1" xfId="2" applyBorder="1" applyAlignment="1">
      <alignment horizontal="center" vertical="center" wrapText="1"/>
    </xf>
    <xf numFmtId="0" fontId="1" fillId="0" borderId="1" xfId="2" applyBorder="1" applyAlignment="1">
      <alignment horizontal="center" vertical="center"/>
    </xf>
    <xf numFmtId="0" fontId="2" fillId="0" borderId="2" xfId="2" applyFont="1" applyBorder="1" applyAlignment="1">
      <alignment horizontal="center" vertical="center"/>
    </xf>
    <xf numFmtId="0" fontId="2" fillId="0" borderId="3" xfId="2" applyFont="1" applyBorder="1" applyAlignment="1">
      <alignment horizontal="center" vertical="center"/>
    </xf>
    <xf numFmtId="0" fontId="2" fillId="0" borderId="4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1" fillId="0" borderId="1" xfId="2" applyBorder="1" applyAlignment="1">
      <alignment vertical="center"/>
    </xf>
    <xf numFmtId="0" fontId="1" fillId="0" borderId="13" xfId="2" applyBorder="1" applyAlignment="1">
      <alignment vertical="center"/>
    </xf>
    <xf numFmtId="0" fontId="2" fillId="0" borderId="1" xfId="2" applyFont="1" applyBorder="1" applyAlignment="1">
      <alignment horizontal="center" vertical="center"/>
    </xf>
    <xf numFmtId="0" fontId="2" fillId="0" borderId="13" xfId="2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15" xfId="2" applyFont="1" applyBorder="1" applyAlignment="1">
      <alignment horizontal="center" vertical="center"/>
    </xf>
    <xf numFmtId="0" fontId="2" fillId="0" borderId="16" xfId="2" applyFont="1" applyBorder="1" applyAlignment="1">
      <alignment horizontal="center" vertical="center"/>
    </xf>
    <xf numFmtId="0" fontId="3" fillId="0" borderId="6" xfId="2" applyFont="1" applyBorder="1" applyAlignment="1">
      <alignment horizontal="center" vertical="center"/>
    </xf>
    <xf numFmtId="0" fontId="3" fillId="0" borderId="2" xfId="2" applyFont="1" applyBorder="1" applyAlignment="1">
      <alignment horizontal="center" vertical="center"/>
    </xf>
    <xf numFmtId="0" fontId="3" fillId="0" borderId="3" xfId="2" applyFont="1" applyBorder="1" applyAlignment="1">
      <alignment horizontal="center" vertical="center"/>
    </xf>
    <xf numFmtId="0" fontId="3" fillId="0" borderId="4" xfId="2" applyFont="1" applyBorder="1" applyAlignment="1">
      <alignment horizontal="center" vertical="center"/>
    </xf>
    <xf numFmtId="0" fontId="2" fillId="0" borderId="9" xfId="2" applyFont="1" applyBorder="1" applyAlignment="1">
      <alignment horizontal="center" vertical="center"/>
    </xf>
    <xf numFmtId="0" fontId="9" fillId="0" borderId="0" xfId="2" applyFont="1" applyBorder="1" applyAlignment="1">
      <alignment horizontal="center" vertical="center"/>
    </xf>
    <xf numFmtId="0" fontId="2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center" vertical="center"/>
    </xf>
    <xf numFmtId="0" fontId="5" fillId="0" borderId="0" xfId="2" applyFont="1" applyBorder="1" applyAlignment="1">
      <alignment horizontal="center" vertical="center"/>
    </xf>
    <xf numFmtId="0" fontId="5" fillId="0" borderId="10" xfId="2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5" fillId="0" borderId="12" xfId="2" applyFont="1" applyBorder="1" applyAlignment="1">
      <alignment horizontal="center" vertical="center"/>
    </xf>
    <xf numFmtId="0" fontId="0" fillId="4" borderId="6" xfId="0" applyFont="1" applyFill="1" applyBorder="1" applyAlignment="1">
      <alignment horizontal="left" vertical="center"/>
    </xf>
    <xf numFmtId="0" fontId="11" fillId="4" borderId="14" xfId="0" applyFont="1" applyFill="1" applyBorder="1" applyAlignment="1">
      <alignment horizontal="center" vertical="center" wrapText="1"/>
    </xf>
    <xf numFmtId="0" fontId="0" fillId="3" borderId="6" xfId="0" applyFont="1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ownloads/Telegram%20Desktop/Data%20List_draft%20New3%20(2)%20(2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Ishonch/Downloads/Telegram%20Desktop/Data%20List_draft%20New3%20(2)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</sheetNames>
    <sheetDataSet>
      <sheetData sheetId="0" refreshError="1"/>
      <sheetData sheetId="1" refreshError="1">
        <row r="20">
          <cell r="W20" t="str">
            <v>LKS</v>
          </cell>
          <cell r="AA20" t="str">
            <v>Gelastic epilepsy</v>
          </cell>
        </row>
        <row r="21">
          <cell r="I21" t="str">
            <v>Dravet syndrom</v>
          </cell>
          <cell r="Q21" t="str">
            <v>IS- Infantile spasms</v>
          </cell>
          <cell r="AA21" t="str">
            <v>Sturge-Weber syndrom</v>
          </cell>
        </row>
        <row r="22">
          <cell r="I22" t="str">
            <v>Glut1 deficiency</v>
          </cell>
          <cell r="Q22" t="str">
            <v>Syndrom West</v>
          </cell>
          <cell r="W22" t="str">
            <v>CAE</v>
          </cell>
          <cell r="AA22" t="str">
            <v>DEE-SWAS</v>
          </cell>
        </row>
        <row r="23">
          <cell r="I23" t="str">
            <v>FCD typ 1-2</v>
          </cell>
          <cell r="Q23" t="str">
            <v>Sydrom Ohtahara</v>
          </cell>
          <cell r="W23" t="str">
            <v>JAE</v>
          </cell>
          <cell r="AA23" t="str">
            <v>EE-SWAS</v>
          </cell>
        </row>
        <row r="24">
          <cell r="I24" t="str">
            <v>EIES- Early infantile epileptic encephalopathy</v>
          </cell>
          <cell r="Q24" t="str">
            <v>Syndrom Doose</v>
          </cell>
          <cell r="W24" t="str">
            <v>JME</v>
          </cell>
        </row>
        <row r="25">
          <cell r="D25" t="str">
            <v>benign neonatal seizure</v>
          </cell>
          <cell r="I25" t="str">
            <v>EME-Early myoclonic encephalopathy</v>
          </cell>
          <cell r="Q25" t="str">
            <v>LGS</v>
          </cell>
          <cell r="W25" t="str">
            <v>TLE</v>
          </cell>
        </row>
        <row r="26">
          <cell r="A26" t="str">
            <v>tonic-clonic</v>
          </cell>
          <cell r="D26" t="str">
            <v>prydoxin dependent epilepsy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  <sheetName val="Лист2"/>
    </sheetNames>
    <sheetDataSet>
      <sheetData sheetId="0" refreshError="1">
        <row r="1">
          <cell r="AT1" t="str">
            <v>Nocturnal frontal lobe epilepsy</v>
          </cell>
          <cell r="CK1" t="str">
            <v>GMS-generalized motor seizure</v>
          </cell>
          <cell r="CL1" t="str">
            <v>MAE-myoclonic atonic epilepsy</v>
          </cell>
          <cell r="CN1" t="str">
            <v>FTLE-familial temporal lobe epilepsy</v>
          </cell>
          <cell r="CO1" t="str">
            <v>BFIS-benign familial infantile seizure</v>
          </cell>
          <cell r="CP1" t="str">
            <v>BFNS-benign familial neonatal seizure.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A9"/>
  <sheetViews>
    <sheetView tabSelected="1" topLeftCell="JN1" workbookViewId="0">
      <selection activeCell="KA1" sqref="KA1:KA3"/>
    </sheetView>
  </sheetViews>
  <sheetFormatPr defaultColWidth="8.85546875" defaultRowHeight="15" x14ac:dyDescent="0.25"/>
  <cols>
    <col min="1" max="1" width="5.85546875" style="33" customWidth="1"/>
    <col min="2" max="2" width="14.28515625" style="33" customWidth="1"/>
    <col min="3" max="3" width="30.42578125" style="33" customWidth="1"/>
    <col min="4" max="4" width="12.28515625" style="33" customWidth="1"/>
    <col min="5" max="5" width="15.28515625" style="33" customWidth="1"/>
    <col min="6" max="6" width="18.5703125" style="33" customWidth="1"/>
    <col min="7" max="7" width="11.7109375" style="33" customWidth="1"/>
    <col min="8" max="8" width="8.85546875" style="33"/>
    <col min="9" max="9" width="22.42578125" style="33" customWidth="1"/>
    <col min="10" max="10" width="8.85546875" style="33"/>
    <col min="11" max="11" width="21.5703125" style="34" customWidth="1"/>
    <col min="12" max="12" width="8.85546875" style="35"/>
    <col min="13" max="15" width="8.85546875" style="33"/>
    <col min="16" max="16" width="10" style="36" customWidth="1"/>
    <col min="17" max="17" width="8.85546875" style="37"/>
    <col min="18" max="20" width="8.85546875" style="33"/>
    <col min="21" max="21" width="8.85546875" style="34"/>
    <col min="22" max="22" width="8.85546875" style="35"/>
    <col min="23" max="27" width="8.85546875" style="33"/>
    <col min="28" max="28" width="8.85546875" style="36"/>
    <col min="29" max="29" width="8.85546875" style="37"/>
    <col min="30" max="34" width="8.85546875" style="33"/>
    <col min="35" max="35" width="8.85546875" style="34"/>
    <col min="36" max="36" width="8.85546875" style="35"/>
    <col min="37" max="48" width="8.85546875" style="33"/>
    <col min="49" max="49" width="8.85546875" style="36"/>
    <col min="50" max="50" width="8.85546875" style="37"/>
    <col min="51" max="61" width="8.85546875" style="33"/>
    <col min="62" max="62" width="8.85546875" style="34"/>
    <col min="63" max="63" width="8.85546875" style="35"/>
    <col min="64" max="74" width="8.85546875" style="33"/>
    <col min="75" max="75" width="8.85546875" style="36"/>
    <col min="76" max="76" width="8.85546875" style="37"/>
    <col min="77" max="77" width="8.85546875" style="33"/>
    <col min="78" max="78" width="8.85546875" style="34"/>
    <col min="79" max="79" width="8.85546875" style="35"/>
    <col min="80" max="80" width="8.85546875" style="33"/>
    <col min="81" max="81" width="8.85546875" style="36"/>
    <col min="82" max="82" width="8.85546875" style="37"/>
    <col min="83" max="87" width="8.85546875" style="33"/>
    <col min="88" max="88" width="8.85546875" style="34"/>
    <col min="89" max="89" width="8.85546875" style="35"/>
    <col min="90" max="91" width="8.85546875" style="33"/>
    <col min="92" max="92" width="8.85546875" style="33" customWidth="1"/>
    <col min="93" max="93" width="8.85546875" style="36" customWidth="1"/>
    <col min="94" max="94" width="8.85546875" style="37"/>
    <col min="95" max="100" width="8.85546875" style="33"/>
    <col min="101" max="101" width="8.85546875" style="33" customWidth="1"/>
    <col min="102" max="102" width="8.85546875" style="33"/>
    <col min="103" max="103" width="8.85546875" style="38"/>
    <col min="104" max="104" width="8.85546875" style="39"/>
    <col min="105" max="112" width="8.85546875" style="32"/>
    <col min="113" max="113" width="8.85546875" style="40"/>
    <col min="114" max="114" width="8.85546875" style="37"/>
    <col min="115" max="118" width="8.85546875" style="33"/>
    <col min="119" max="119" width="12.140625" style="33" customWidth="1"/>
    <col min="120" max="148" width="8.85546875" style="33"/>
    <col min="149" max="149" width="8.85546875" style="34"/>
    <col min="150" max="150" width="8.85546875" style="35"/>
    <col min="151" max="172" width="8.85546875" style="33"/>
    <col min="173" max="173" width="8.85546875" style="36"/>
    <col min="174" max="174" width="8.85546875" style="37"/>
    <col min="175" max="175" width="8.85546875" style="33"/>
    <col min="176" max="176" width="8.85546875" style="34"/>
    <col min="177" max="177" width="8.85546875" style="35"/>
    <col min="178" max="181" width="8.85546875" style="33"/>
    <col min="182" max="182" width="8.85546875" style="34"/>
    <col min="183" max="183" width="8.85546875" style="41"/>
    <col min="184" max="184" width="8.85546875" style="33"/>
    <col min="185" max="185" width="8.85546875" style="37"/>
    <col min="186" max="189" width="8.85546875" style="33"/>
    <col min="190" max="190" width="8.85546875" style="36"/>
    <col min="191" max="191" width="8.85546875" style="35"/>
    <col min="192" max="214" width="8.85546875" style="33"/>
    <col min="215" max="215" width="8.85546875" style="36"/>
    <col min="216" max="216" width="18.140625" style="37" customWidth="1"/>
    <col min="217" max="239" width="18.140625" style="33" customWidth="1"/>
    <col min="240" max="240" width="18.140625" style="34" customWidth="1"/>
    <col min="241" max="241" width="8.85546875" style="35"/>
    <col min="242" max="249" width="8.85546875" style="33"/>
    <col min="250" max="250" width="8.85546875" style="36"/>
    <col min="251" max="251" width="8.85546875" style="37"/>
    <col min="252" max="254" width="8.85546875" style="33"/>
    <col min="255" max="255" width="8.85546875" style="34"/>
    <col min="256" max="256" width="8.85546875" style="35"/>
    <col min="257" max="258" width="8.85546875" style="33"/>
    <col min="259" max="259" width="8.85546875" style="33" customWidth="1"/>
    <col min="260" max="260" width="9.42578125" style="36" customWidth="1"/>
    <col min="261" max="261" width="22.85546875" style="37" customWidth="1"/>
    <col min="262" max="262" width="14.7109375" style="33" customWidth="1"/>
    <col min="263" max="263" width="16.5703125" style="33" customWidth="1"/>
    <col min="264" max="264" width="11.140625" style="34" customWidth="1"/>
    <col min="265" max="265" width="17.5703125" style="35" customWidth="1"/>
    <col min="266" max="266" width="17.5703125" style="36" customWidth="1"/>
    <col min="267" max="267" width="17.28515625" style="35" customWidth="1"/>
    <col min="268" max="269" width="17.42578125" style="33" customWidth="1"/>
    <col min="270" max="272" width="17.28515625" style="33" customWidth="1"/>
    <col min="273" max="273" width="17.42578125" style="33" customWidth="1"/>
    <col min="274" max="274" width="17.85546875" style="33" customWidth="1"/>
    <col min="275" max="279" width="8.85546875" style="33"/>
    <col min="280" max="280" width="8.85546875" style="36"/>
    <col min="281" max="281" width="17.85546875" style="42" customWidth="1"/>
    <col min="282" max="16384" width="8.85546875" style="33"/>
  </cols>
  <sheetData>
    <row r="1" spans="1:287" ht="33" customHeight="1" x14ac:dyDescent="0.25">
      <c r="A1" s="82" t="s">
        <v>0</v>
      </c>
      <c r="B1" s="85" t="s">
        <v>1</v>
      </c>
      <c r="C1" s="85" t="s">
        <v>2</v>
      </c>
      <c r="D1" s="85" t="s">
        <v>3</v>
      </c>
      <c r="E1" s="85" t="s">
        <v>4</v>
      </c>
      <c r="F1" s="85" t="s">
        <v>5</v>
      </c>
      <c r="G1" s="85" t="s">
        <v>6</v>
      </c>
      <c r="H1" s="85" t="s">
        <v>7</v>
      </c>
      <c r="I1" s="85" t="s">
        <v>8</v>
      </c>
      <c r="J1" s="85" t="s">
        <v>9</v>
      </c>
      <c r="K1" s="88" t="s">
        <v>8</v>
      </c>
      <c r="L1" s="62" t="s">
        <v>10</v>
      </c>
      <c r="M1" s="63"/>
      <c r="N1" s="63"/>
      <c r="O1" s="63"/>
      <c r="P1" s="64"/>
      <c r="Q1" s="65" t="s">
        <v>11</v>
      </c>
      <c r="R1" s="65"/>
      <c r="S1" s="65"/>
      <c r="T1" s="65"/>
      <c r="U1" s="65"/>
      <c r="V1" s="66" t="s">
        <v>12</v>
      </c>
      <c r="W1" s="67"/>
      <c r="X1" s="68"/>
      <c r="Y1" s="69" t="s">
        <v>13</v>
      </c>
      <c r="Z1" s="70"/>
      <c r="AA1" s="70"/>
      <c r="AB1" s="70"/>
      <c r="AC1" s="70"/>
      <c r="AD1" s="70"/>
      <c r="AE1" s="71"/>
      <c r="AF1" s="72" t="s">
        <v>14</v>
      </c>
      <c r="AG1" s="70"/>
      <c r="AH1" s="70"/>
      <c r="AI1" s="70"/>
      <c r="AJ1" s="70"/>
      <c r="AK1" s="70"/>
      <c r="AL1" s="71"/>
      <c r="AM1" s="72" t="s">
        <v>15</v>
      </c>
      <c r="AN1" s="70"/>
      <c r="AO1" s="70"/>
      <c r="AP1" s="70"/>
      <c r="AQ1" s="70"/>
      <c r="AR1" s="70"/>
      <c r="AS1" s="70"/>
      <c r="AT1" s="71"/>
      <c r="AU1" s="123" t="s">
        <v>16</v>
      </c>
      <c r="AV1" s="126" t="s">
        <v>17</v>
      </c>
      <c r="AW1" s="126" t="s">
        <v>18</v>
      </c>
      <c r="AX1" s="126" t="s">
        <v>19</v>
      </c>
      <c r="AY1" s="126" t="s">
        <v>20</v>
      </c>
      <c r="AZ1" s="126" t="s">
        <v>21</v>
      </c>
      <c r="BA1" s="126" t="s">
        <v>183</v>
      </c>
      <c r="BB1" s="129"/>
      <c r="BC1" s="72" t="s">
        <v>22</v>
      </c>
      <c r="BD1" s="70"/>
      <c r="BE1" s="70"/>
      <c r="BF1" s="70"/>
      <c r="BG1" s="70"/>
      <c r="BH1" s="70"/>
      <c r="BI1" s="70"/>
      <c r="BJ1" s="70"/>
      <c r="BK1" s="70"/>
      <c r="BL1" s="70"/>
      <c r="BM1" s="70"/>
      <c r="BN1" s="70"/>
      <c r="BO1" s="70"/>
      <c r="BP1" s="70"/>
      <c r="BQ1" s="70"/>
      <c r="BR1" s="70"/>
      <c r="BS1" s="70"/>
      <c r="BT1" s="70"/>
      <c r="BU1" s="70"/>
      <c r="BV1" s="71"/>
      <c r="BW1" s="72" t="s">
        <v>23</v>
      </c>
      <c r="BX1" s="70"/>
      <c r="BY1" s="70"/>
      <c r="BZ1" s="70"/>
      <c r="CA1" s="70"/>
      <c r="CB1" s="70"/>
      <c r="CC1" s="70"/>
      <c r="CD1" s="70"/>
      <c r="CE1" s="70"/>
      <c r="CF1" s="70"/>
      <c r="CG1" s="70"/>
      <c r="CH1" s="70"/>
      <c r="CI1" s="70"/>
      <c r="CJ1" s="70"/>
      <c r="CK1" s="70"/>
      <c r="CL1" s="70"/>
      <c r="CM1" s="70"/>
      <c r="CN1" s="70"/>
      <c r="CO1" s="70"/>
      <c r="CP1" s="71"/>
      <c r="CQ1" s="73" t="s">
        <v>24</v>
      </c>
      <c r="CR1" s="73"/>
      <c r="CS1" s="73"/>
      <c r="CT1" s="73"/>
      <c r="CU1" s="73"/>
      <c r="CV1" s="73"/>
      <c r="CW1" s="73"/>
      <c r="CX1" s="73"/>
      <c r="CY1" s="73"/>
      <c r="CZ1" s="73"/>
      <c r="DA1" s="73"/>
      <c r="DB1" s="73"/>
      <c r="DC1" s="73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73"/>
      <c r="DP1" s="73"/>
      <c r="DQ1" s="73"/>
      <c r="DR1" s="73"/>
      <c r="DS1" s="73"/>
      <c r="DT1" s="73"/>
      <c r="DU1" s="73"/>
      <c r="DV1" s="73"/>
      <c r="DW1" s="73"/>
      <c r="DX1" s="73"/>
      <c r="DY1" s="73"/>
      <c r="DZ1" s="73"/>
      <c r="EA1" s="74" t="s">
        <v>25</v>
      </c>
      <c r="EB1" s="75"/>
      <c r="EC1" s="75"/>
      <c r="ED1" s="75"/>
      <c r="EE1" s="75"/>
      <c r="EF1" s="75"/>
      <c r="EG1" s="75"/>
      <c r="EH1" s="75"/>
      <c r="EI1" s="75"/>
      <c r="EJ1" s="75"/>
      <c r="EK1" s="75"/>
      <c r="EL1" s="75"/>
      <c r="EM1" s="75"/>
      <c r="EN1" s="75"/>
      <c r="EO1" s="75"/>
      <c r="EP1" s="75"/>
      <c r="EQ1" s="75"/>
      <c r="ER1" s="75"/>
      <c r="ES1" s="75"/>
      <c r="ET1" s="75"/>
      <c r="EU1" s="75"/>
      <c r="EV1" s="75"/>
      <c r="EW1" s="75"/>
      <c r="EX1" s="75"/>
      <c r="EY1" s="75"/>
      <c r="EZ1" s="75"/>
      <c r="FA1" s="75"/>
      <c r="FB1" s="75"/>
      <c r="FC1" s="75"/>
      <c r="FD1" s="75"/>
      <c r="FE1" s="75"/>
      <c r="FF1" s="75"/>
      <c r="FG1" s="235" t="s">
        <v>26</v>
      </c>
      <c r="FH1" s="235"/>
      <c r="FI1" s="235"/>
      <c r="FJ1" s="235"/>
      <c r="FK1" s="235"/>
      <c r="FL1" s="235"/>
      <c r="FM1" s="235"/>
      <c r="FN1" s="235"/>
      <c r="FO1" s="235"/>
      <c r="FP1" s="235"/>
      <c r="FQ1" s="235"/>
      <c r="FR1" s="235"/>
      <c r="FS1" s="235"/>
      <c r="FT1" s="235"/>
      <c r="FU1" s="235"/>
      <c r="FV1" s="235"/>
      <c r="FW1" s="235" t="s">
        <v>27</v>
      </c>
      <c r="FX1" s="235"/>
      <c r="FY1" s="235"/>
      <c r="FZ1" s="235"/>
      <c r="GA1" s="235"/>
      <c r="GB1" s="235"/>
      <c r="GC1" s="235"/>
      <c r="GD1" s="235"/>
      <c r="GE1" s="235"/>
      <c r="GF1" s="235"/>
      <c r="GG1" s="235"/>
      <c r="GH1" s="235"/>
      <c r="GI1" s="235"/>
      <c r="GJ1" s="235"/>
      <c r="GK1" s="235"/>
      <c r="GL1" s="235"/>
      <c r="GM1" s="75" t="s">
        <v>28</v>
      </c>
      <c r="GN1" s="75"/>
      <c r="GO1" s="75"/>
      <c r="GP1" s="75"/>
      <c r="GQ1" s="75"/>
      <c r="GR1" s="75"/>
      <c r="GS1" s="75"/>
      <c r="GT1" s="75"/>
      <c r="GU1" s="75"/>
      <c r="GV1" s="75"/>
      <c r="GW1" s="75"/>
      <c r="GX1" s="75"/>
      <c r="GY1" s="75"/>
      <c r="GZ1" s="75"/>
      <c r="HA1" s="75"/>
      <c r="HB1" s="75"/>
      <c r="HC1" s="75"/>
      <c r="HD1" s="75"/>
      <c r="HE1" s="75"/>
      <c r="HF1" s="75"/>
      <c r="HG1" s="75"/>
      <c r="HH1" s="75"/>
      <c r="HI1" s="75"/>
      <c r="HJ1" s="75"/>
      <c r="HK1" s="75"/>
      <c r="HL1" s="76"/>
      <c r="HM1" s="77" t="s">
        <v>29</v>
      </c>
      <c r="HN1" s="75"/>
      <c r="HO1" s="75"/>
      <c r="HP1" s="75"/>
      <c r="HQ1" s="75"/>
      <c r="HR1" s="75"/>
      <c r="HS1" s="75"/>
      <c r="HT1" s="75"/>
      <c r="HU1" s="75"/>
      <c r="HV1" s="75"/>
      <c r="HW1" s="75"/>
      <c r="HX1" s="75"/>
      <c r="HY1" s="75"/>
      <c r="HZ1" s="75"/>
      <c r="IA1" s="75"/>
      <c r="IB1" s="75"/>
      <c r="IC1" s="75"/>
      <c r="ID1" s="75"/>
      <c r="IE1" s="75"/>
      <c r="IF1" s="75"/>
      <c r="IG1" s="75"/>
      <c r="IH1" s="75"/>
      <c r="II1" s="75"/>
      <c r="IJ1" s="75"/>
      <c r="IK1" s="75"/>
      <c r="IL1" s="78"/>
      <c r="IM1" s="79" t="s">
        <v>30</v>
      </c>
      <c r="IN1" s="80"/>
      <c r="IO1" s="80"/>
      <c r="IP1" s="80"/>
      <c r="IQ1" s="80"/>
      <c r="IR1" s="80"/>
      <c r="IS1" s="80"/>
      <c r="IT1" s="80"/>
      <c r="IU1" s="80"/>
      <c r="IV1" s="81"/>
      <c r="IW1" s="63" t="s">
        <v>31</v>
      </c>
      <c r="IX1" s="63"/>
      <c r="IY1" s="63"/>
      <c r="IZ1" s="63"/>
      <c r="JA1" s="63"/>
      <c r="JB1" s="62" t="s">
        <v>29</v>
      </c>
      <c r="JC1" s="63"/>
      <c r="JD1" s="63"/>
      <c r="JE1" s="63"/>
      <c r="JF1" s="64"/>
      <c r="JG1" s="179" t="s">
        <v>32</v>
      </c>
      <c r="JH1" s="182" t="s">
        <v>33</v>
      </c>
      <c r="JI1" s="182" t="s">
        <v>34</v>
      </c>
      <c r="JJ1" s="185" t="s">
        <v>35</v>
      </c>
      <c r="JK1" s="188" t="s">
        <v>36</v>
      </c>
      <c r="JL1" s="191" t="s">
        <v>37</v>
      </c>
      <c r="JM1" s="188" t="s">
        <v>38</v>
      </c>
      <c r="JN1" s="194" t="s">
        <v>39</v>
      </c>
      <c r="JO1" s="197" t="s">
        <v>40</v>
      </c>
      <c r="JP1" s="197" t="s">
        <v>41</v>
      </c>
      <c r="JQ1" s="197" t="s">
        <v>42</v>
      </c>
      <c r="JR1" s="197" t="s">
        <v>43</v>
      </c>
      <c r="JS1" s="200" t="s">
        <v>44</v>
      </c>
      <c r="JT1" s="200" t="s">
        <v>45</v>
      </c>
      <c r="JU1" s="200" t="s">
        <v>46</v>
      </c>
      <c r="JV1" s="203" t="s">
        <v>47</v>
      </c>
      <c r="JW1" s="200" t="s">
        <v>48</v>
      </c>
      <c r="JX1" s="204" t="s">
        <v>49</v>
      </c>
      <c r="JY1" s="236" t="s">
        <v>185</v>
      </c>
      <c r="JZ1" s="203" t="s">
        <v>186</v>
      </c>
      <c r="KA1" s="203" t="s">
        <v>187</v>
      </c>
    </row>
    <row r="2" spans="1:287" ht="51.75" customHeight="1" x14ac:dyDescent="0.25">
      <c r="A2" s="83"/>
      <c r="B2" s="86"/>
      <c r="C2" s="86"/>
      <c r="D2" s="86"/>
      <c r="E2" s="86"/>
      <c r="F2" s="86"/>
      <c r="G2" s="86"/>
      <c r="H2" s="86"/>
      <c r="I2" s="86"/>
      <c r="J2" s="86"/>
      <c r="K2" s="89"/>
      <c r="L2" s="91">
        <v>1</v>
      </c>
      <c r="M2" s="93">
        <v>2</v>
      </c>
      <c r="N2" s="93">
        <v>3</v>
      </c>
      <c r="O2" s="93">
        <v>4</v>
      </c>
      <c r="P2" s="95">
        <v>5</v>
      </c>
      <c r="Q2" s="97">
        <v>1</v>
      </c>
      <c r="R2" s="99">
        <v>2</v>
      </c>
      <c r="S2" s="101">
        <v>3</v>
      </c>
      <c r="T2" s="101">
        <v>4</v>
      </c>
      <c r="U2" s="103">
        <v>5</v>
      </c>
      <c r="V2" s="105" t="s">
        <v>50</v>
      </c>
      <c r="W2" s="107" t="s">
        <v>51</v>
      </c>
      <c r="X2" s="107" t="s">
        <v>52</v>
      </c>
      <c r="Y2" s="109" t="s">
        <v>53</v>
      </c>
      <c r="Z2" s="111" t="s">
        <v>54</v>
      </c>
      <c r="AA2" s="111" t="s">
        <v>55</v>
      </c>
      <c r="AB2" s="113"/>
      <c r="AC2" s="113"/>
      <c r="AD2" s="113"/>
      <c r="AE2" s="115"/>
      <c r="AF2" s="117" t="s">
        <v>56</v>
      </c>
      <c r="AG2" s="119" t="s">
        <v>57</v>
      </c>
      <c r="AH2" s="119" t="s">
        <v>58</v>
      </c>
      <c r="AI2" s="119"/>
      <c r="AJ2" s="119"/>
      <c r="AK2" s="119"/>
      <c r="AL2" s="121"/>
      <c r="AM2" s="109" t="s">
        <v>59</v>
      </c>
      <c r="AN2" s="111" t="s">
        <v>60</v>
      </c>
      <c r="AO2" s="111" t="s">
        <v>61</v>
      </c>
      <c r="AP2" s="111" t="s">
        <v>62</v>
      </c>
      <c r="AQ2" s="111"/>
      <c r="AR2" s="113"/>
      <c r="AS2" s="111"/>
      <c r="AT2" s="115"/>
      <c r="AU2" s="124"/>
      <c r="AV2" s="127"/>
      <c r="AW2" s="127"/>
      <c r="AX2" s="127"/>
      <c r="AY2" s="127"/>
      <c r="AZ2" s="127"/>
      <c r="BA2" s="127"/>
      <c r="BB2" s="130"/>
      <c r="BC2" s="91"/>
      <c r="BD2" s="93"/>
      <c r="BE2" s="93"/>
      <c r="BF2" s="93"/>
      <c r="BG2" s="119"/>
      <c r="BH2" s="119"/>
      <c r="BI2" s="93"/>
      <c r="BJ2" s="119"/>
      <c r="BK2" s="119"/>
      <c r="BL2" s="121"/>
      <c r="BM2" s="91"/>
      <c r="BN2" s="93"/>
      <c r="BO2" s="93"/>
      <c r="BP2" s="93"/>
      <c r="BQ2" s="119"/>
      <c r="BR2" s="119"/>
      <c r="BS2" s="93"/>
      <c r="BT2" s="119"/>
      <c r="BU2" s="119"/>
      <c r="BV2" s="121"/>
      <c r="BW2" s="91"/>
      <c r="BX2" s="93"/>
      <c r="BY2" s="93"/>
      <c r="BZ2" s="93"/>
      <c r="CA2" s="119"/>
      <c r="CB2" s="119"/>
      <c r="CC2" s="93"/>
      <c r="CD2" s="119"/>
      <c r="CE2" s="119"/>
      <c r="CF2" s="121"/>
      <c r="CG2" s="91"/>
      <c r="CH2" s="93"/>
      <c r="CI2" s="93"/>
      <c r="CJ2" s="93"/>
      <c r="CK2" s="119"/>
      <c r="CL2" s="119"/>
      <c r="CM2" s="93"/>
      <c r="CN2" s="119"/>
      <c r="CO2" s="119"/>
      <c r="CP2" s="121"/>
      <c r="CQ2" s="117" t="str">
        <f>[1]Лист2!$D$25</f>
        <v>benign neonatal seizure</v>
      </c>
      <c r="CR2" s="119" t="str">
        <f>[1]Лист2!$D$26</f>
        <v>prydoxin dependent epilepsy</v>
      </c>
      <c r="CS2" s="119" t="s">
        <v>63</v>
      </c>
      <c r="CT2" s="119" t="str">
        <f>[1]Лист2!$I$21</f>
        <v>Dravet syndrom</v>
      </c>
      <c r="CU2" s="119" t="str">
        <f>[1]Лист2!$I$22</f>
        <v>Glut1 deficiency</v>
      </c>
      <c r="CV2" s="132" t="s">
        <v>64</v>
      </c>
      <c r="CW2" s="134" t="str">
        <f>[1]Лист2!$I$24</f>
        <v>EIES- Early infantile epileptic encephalopathy</v>
      </c>
      <c r="CX2" s="134" t="str">
        <f>[1]Лист2!$I$25</f>
        <v>EME-Early myoclonic encephalopathy</v>
      </c>
      <c r="CY2" s="134" t="s">
        <v>65</v>
      </c>
      <c r="CZ2" s="134" t="s">
        <v>66</v>
      </c>
      <c r="DA2" s="134" t="str">
        <f>[1]Лист2!$Q$21</f>
        <v>IS- Infantile spasms</v>
      </c>
      <c r="DB2" s="134" t="str">
        <f>[1]Лист2!$Q$22</f>
        <v>Syndrom West</v>
      </c>
      <c r="DC2" s="134" t="str">
        <f>[1]Лист2!$Q$23</f>
        <v>Sydrom Ohtahara</v>
      </c>
      <c r="DD2" s="134" t="str">
        <f>[1]Лист2!$Q$24</f>
        <v>Syndrom Doose</v>
      </c>
      <c r="DE2" s="134" t="str">
        <f>[1]Лист2!$Q$25</f>
        <v>LGS</v>
      </c>
      <c r="DF2" s="134" t="s">
        <v>67</v>
      </c>
      <c r="DG2" s="134" t="str">
        <f>[1]Лист2!$W$20</f>
        <v>LKS</v>
      </c>
      <c r="DH2" s="132" t="s">
        <v>68</v>
      </c>
      <c r="DI2" s="132" t="str">
        <f>[1]Лист2!$W$22</f>
        <v>CAE</v>
      </c>
      <c r="DJ2" s="132" t="str">
        <f>[1]Лист2!$W$23</f>
        <v>JAE</v>
      </c>
      <c r="DK2" s="132" t="str">
        <f>[1]Лист2!$W$24</f>
        <v>JME</v>
      </c>
      <c r="DL2" s="132" t="str">
        <f>[1]Лист2!$W$25</f>
        <v>TLE</v>
      </c>
      <c r="DM2" s="134" t="str">
        <f>[1]Лист2!$AA$20</f>
        <v>Gelastic epilepsy</v>
      </c>
      <c r="DN2" s="134" t="str">
        <f>[1]Лист2!$AA$21</f>
        <v>Sturge-Weber syndrom</v>
      </c>
      <c r="DO2" s="134" t="str">
        <f>[1]Лист2!$AA$22</f>
        <v>DEE-SWAS</v>
      </c>
      <c r="DP2" s="132" t="str">
        <f>[1]Лист2!$AA$23</f>
        <v>EE-SWAS</v>
      </c>
      <c r="DQ2" s="134" t="s">
        <v>69</v>
      </c>
      <c r="DR2" s="136" t="str">
        <f>[2]Лист1!$CK$1</f>
        <v>GMS-generalized motor seizure</v>
      </c>
      <c r="DS2" s="136" t="str">
        <f>[2]Лист1!$AT$1</f>
        <v>Nocturnal frontal lobe epilepsy</v>
      </c>
      <c r="DT2" s="136" t="str">
        <f>[2]Лист1!$CL$1</f>
        <v>MAE-myoclonic atonic epilepsy</v>
      </c>
      <c r="DU2" s="136" t="s">
        <v>70</v>
      </c>
      <c r="DV2" s="136" t="str">
        <f>[2]Лист1!$CN$1</f>
        <v>FTLE-familial temporal lobe epilepsy</v>
      </c>
      <c r="DW2" s="136" t="str">
        <f>[2]Лист1!$CO$1</f>
        <v>BFIS-benign familial infantile seizure</v>
      </c>
      <c r="DX2" s="136" t="str">
        <f>[2]Лист1!$CP$1</f>
        <v>BFNS-benign familial neonatal seizure.</v>
      </c>
      <c r="DY2" s="136" t="s">
        <v>71</v>
      </c>
      <c r="DZ2" s="138" t="s">
        <v>72</v>
      </c>
      <c r="EA2" s="140" t="s">
        <v>73</v>
      </c>
      <c r="EB2" s="142" t="s">
        <v>74</v>
      </c>
      <c r="EC2" s="142" t="s">
        <v>75</v>
      </c>
      <c r="ED2" s="142" t="s">
        <v>184</v>
      </c>
      <c r="EE2" s="144" t="s">
        <v>76</v>
      </c>
      <c r="EF2" s="144" t="s">
        <v>77</v>
      </c>
      <c r="EG2" s="144" t="s">
        <v>78</v>
      </c>
      <c r="EH2" s="144" t="s">
        <v>79</v>
      </c>
      <c r="EI2" s="142" t="s">
        <v>72</v>
      </c>
      <c r="EJ2" s="142" t="s">
        <v>80</v>
      </c>
      <c r="EK2" s="142" t="s">
        <v>81</v>
      </c>
      <c r="EL2" s="142" t="s">
        <v>82</v>
      </c>
      <c r="EM2" s="142" t="s">
        <v>83</v>
      </c>
      <c r="EN2" s="142" t="s">
        <v>84</v>
      </c>
      <c r="EO2" s="142" t="s">
        <v>85</v>
      </c>
      <c r="EP2" s="142" t="s">
        <v>86</v>
      </c>
      <c r="EQ2" s="142" t="s">
        <v>87</v>
      </c>
      <c r="ER2" s="142" t="s">
        <v>88</v>
      </c>
      <c r="ES2" s="142" t="s">
        <v>89</v>
      </c>
      <c r="ET2" s="142" t="s">
        <v>90</v>
      </c>
      <c r="EU2" s="142" t="s">
        <v>91</v>
      </c>
      <c r="EV2" s="142" t="s">
        <v>92</v>
      </c>
      <c r="EW2" s="142" t="s">
        <v>93</v>
      </c>
      <c r="EX2" s="146" t="s">
        <v>94</v>
      </c>
      <c r="EY2" s="146"/>
      <c r="EZ2" s="146"/>
      <c r="FA2" s="146"/>
      <c r="FB2" s="146"/>
      <c r="FC2" s="146"/>
      <c r="FD2" s="146"/>
      <c r="FE2" s="146"/>
      <c r="FF2" s="146"/>
      <c r="FG2" s="233" t="s">
        <v>95</v>
      </c>
      <c r="FH2" s="148" t="s">
        <v>96</v>
      </c>
      <c r="FI2" s="134" t="s">
        <v>97</v>
      </c>
      <c r="FJ2" s="134" t="s">
        <v>98</v>
      </c>
      <c r="FK2" s="134" t="s">
        <v>99</v>
      </c>
      <c r="FL2" s="136" t="s">
        <v>100</v>
      </c>
      <c r="FM2" s="134"/>
      <c r="FN2" s="134"/>
      <c r="FO2" s="134"/>
      <c r="FP2" s="134"/>
      <c r="FQ2" s="134"/>
      <c r="FR2" s="134"/>
      <c r="FS2" s="134"/>
      <c r="FT2" s="134"/>
      <c r="FU2" s="134"/>
      <c r="FV2" s="234"/>
      <c r="FW2" s="144" t="s">
        <v>101</v>
      </c>
      <c r="FX2" s="152" t="s">
        <v>102</v>
      </c>
      <c r="FY2" s="144" t="s">
        <v>103</v>
      </c>
      <c r="FZ2" s="144" t="s">
        <v>104</v>
      </c>
      <c r="GA2" s="144" t="s">
        <v>105</v>
      </c>
      <c r="GB2" s="144" t="s">
        <v>106</v>
      </c>
      <c r="GC2" s="154" t="s">
        <v>107</v>
      </c>
      <c r="GD2" s="144" t="s">
        <v>108</v>
      </c>
      <c r="GE2" s="144"/>
      <c r="GF2" s="144"/>
      <c r="GG2" s="144"/>
      <c r="GH2" s="144"/>
      <c r="GI2" s="144"/>
      <c r="GJ2" s="144"/>
      <c r="GK2" s="144"/>
      <c r="GL2" s="144"/>
      <c r="GM2" s="156" t="s">
        <v>109</v>
      </c>
      <c r="GN2" s="132" t="s">
        <v>110</v>
      </c>
      <c r="GO2" s="132" t="s">
        <v>111</v>
      </c>
      <c r="GP2" s="132" t="s">
        <v>112</v>
      </c>
      <c r="GQ2" s="132" t="s">
        <v>113</v>
      </c>
      <c r="GR2" s="132" t="s">
        <v>114</v>
      </c>
      <c r="GS2" s="132" t="s">
        <v>115</v>
      </c>
      <c r="GT2" s="132" t="s">
        <v>116</v>
      </c>
      <c r="GU2" s="132" t="s">
        <v>117</v>
      </c>
      <c r="GV2" s="132" t="s">
        <v>118</v>
      </c>
      <c r="GW2" s="132" t="s">
        <v>119</v>
      </c>
      <c r="GX2" s="132" t="s">
        <v>120</v>
      </c>
      <c r="GY2" s="132" t="s">
        <v>121</v>
      </c>
      <c r="GZ2" s="132" t="s">
        <v>122</v>
      </c>
      <c r="HA2" s="132" t="s">
        <v>123</v>
      </c>
      <c r="HB2" s="132" t="s">
        <v>124</v>
      </c>
      <c r="HC2" s="132" t="s">
        <v>125</v>
      </c>
      <c r="HD2" s="132" t="s">
        <v>126</v>
      </c>
      <c r="HE2" s="132" t="s">
        <v>127</v>
      </c>
      <c r="HF2" s="132" t="s">
        <v>128</v>
      </c>
      <c r="HG2" s="132" t="s">
        <v>129</v>
      </c>
      <c r="HH2" s="132" t="s">
        <v>130</v>
      </c>
      <c r="HI2" s="132" t="s">
        <v>131</v>
      </c>
      <c r="HJ2" s="132" t="s">
        <v>113</v>
      </c>
      <c r="HK2" s="158" t="s">
        <v>126</v>
      </c>
      <c r="HL2" s="160"/>
      <c r="HM2" s="162" t="s">
        <v>109</v>
      </c>
      <c r="HN2" s="164" t="s">
        <v>110</v>
      </c>
      <c r="HO2" s="164" t="s">
        <v>111</v>
      </c>
      <c r="HP2" s="164" t="s">
        <v>112</v>
      </c>
      <c r="HQ2" s="164" t="s">
        <v>113</v>
      </c>
      <c r="HR2" s="164" t="s">
        <v>114</v>
      </c>
      <c r="HS2" s="164" t="s">
        <v>115</v>
      </c>
      <c r="HT2" s="164" t="s">
        <v>116</v>
      </c>
      <c r="HU2" s="164" t="s">
        <v>117</v>
      </c>
      <c r="HV2" s="164" t="s">
        <v>118</v>
      </c>
      <c r="HW2" s="164" t="s">
        <v>119</v>
      </c>
      <c r="HX2" s="164" t="s">
        <v>120</v>
      </c>
      <c r="HY2" s="164" t="s">
        <v>121</v>
      </c>
      <c r="HZ2" s="164" t="s">
        <v>122</v>
      </c>
      <c r="IA2" s="164" t="s">
        <v>123</v>
      </c>
      <c r="IB2" s="164" t="s">
        <v>124</v>
      </c>
      <c r="IC2" s="164" t="s">
        <v>125</v>
      </c>
      <c r="ID2" s="164" t="s">
        <v>126</v>
      </c>
      <c r="IE2" s="164" t="s">
        <v>127</v>
      </c>
      <c r="IF2" s="164" t="s">
        <v>128</v>
      </c>
      <c r="IG2" s="164" t="s">
        <v>129</v>
      </c>
      <c r="IH2" s="164" t="s">
        <v>130</v>
      </c>
      <c r="II2" s="164" t="s">
        <v>131</v>
      </c>
      <c r="IJ2" s="164" t="s">
        <v>113</v>
      </c>
      <c r="IK2" s="167" t="s">
        <v>126</v>
      </c>
      <c r="IL2" s="167"/>
      <c r="IM2" s="156" t="s">
        <v>132</v>
      </c>
      <c r="IN2" s="132" t="s">
        <v>133</v>
      </c>
      <c r="IO2" s="132" t="s">
        <v>134</v>
      </c>
      <c r="IP2" s="132" t="s">
        <v>135</v>
      </c>
      <c r="IQ2" s="132" t="s">
        <v>136</v>
      </c>
      <c r="IR2" s="132" t="s">
        <v>137</v>
      </c>
      <c r="IS2" s="132" t="s">
        <v>138</v>
      </c>
      <c r="IT2" s="134" t="s">
        <v>139</v>
      </c>
      <c r="IU2" s="134" t="s">
        <v>140</v>
      </c>
      <c r="IV2" s="169" t="s">
        <v>141</v>
      </c>
      <c r="IW2" s="171" t="s">
        <v>142</v>
      </c>
      <c r="IX2" s="142" t="s">
        <v>143</v>
      </c>
      <c r="IY2" s="144" t="s">
        <v>144</v>
      </c>
      <c r="IZ2" s="144" t="s">
        <v>145</v>
      </c>
      <c r="JA2" s="173" t="s">
        <v>146</v>
      </c>
      <c r="JB2" s="175" t="s">
        <v>142</v>
      </c>
      <c r="JC2" s="136" t="s">
        <v>143</v>
      </c>
      <c r="JD2" s="134" t="s">
        <v>144</v>
      </c>
      <c r="JE2" s="134" t="s">
        <v>145</v>
      </c>
      <c r="JF2" s="177" t="s">
        <v>146</v>
      </c>
      <c r="JG2" s="180"/>
      <c r="JH2" s="183"/>
      <c r="JI2" s="183"/>
      <c r="JJ2" s="186"/>
      <c r="JK2" s="189"/>
      <c r="JL2" s="192"/>
      <c r="JM2" s="189"/>
      <c r="JN2" s="195"/>
      <c r="JO2" s="198"/>
      <c r="JP2" s="198"/>
      <c r="JQ2" s="198"/>
      <c r="JR2" s="198"/>
      <c r="JS2" s="201"/>
      <c r="JT2" s="201"/>
      <c r="JU2" s="201"/>
      <c r="JV2" s="201"/>
      <c r="JW2" s="201"/>
      <c r="JX2" s="205"/>
      <c r="JY2" s="237"/>
      <c r="JZ2" s="201"/>
      <c r="KA2" s="201"/>
    </row>
    <row r="3" spans="1:287" s="30" customFormat="1" ht="82.5" customHeight="1" thickBot="1" x14ac:dyDescent="0.3">
      <c r="A3" s="84"/>
      <c r="B3" s="87"/>
      <c r="C3" s="87"/>
      <c r="D3" s="87"/>
      <c r="E3" s="87"/>
      <c r="F3" s="87"/>
      <c r="G3" s="87"/>
      <c r="H3" s="87"/>
      <c r="I3" s="87"/>
      <c r="J3" s="87"/>
      <c r="K3" s="90"/>
      <c r="L3" s="92"/>
      <c r="M3" s="94"/>
      <c r="N3" s="94"/>
      <c r="O3" s="94"/>
      <c r="P3" s="96"/>
      <c r="Q3" s="98"/>
      <c r="R3" s="100"/>
      <c r="S3" s="102"/>
      <c r="T3" s="102"/>
      <c r="U3" s="104"/>
      <c r="V3" s="106"/>
      <c r="W3" s="108"/>
      <c r="X3" s="108"/>
      <c r="Y3" s="110"/>
      <c r="Z3" s="112"/>
      <c r="AA3" s="112"/>
      <c r="AB3" s="114"/>
      <c r="AC3" s="114"/>
      <c r="AD3" s="114"/>
      <c r="AE3" s="116"/>
      <c r="AF3" s="118"/>
      <c r="AG3" s="120"/>
      <c r="AH3" s="120"/>
      <c r="AI3" s="120"/>
      <c r="AJ3" s="120"/>
      <c r="AK3" s="120"/>
      <c r="AL3" s="122"/>
      <c r="AM3" s="110"/>
      <c r="AN3" s="112"/>
      <c r="AO3" s="112"/>
      <c r="AP3" s="112"/>
      <c r="AQ3" s="112"/>
      <c r="AR3" s="114"/>
      <c r="AS3" s="112"/>
      <c r="AT3" s="116"/>
      <c r="AU3" s="125"/>
      <c r="AV3" s="128"/>
      <c r="AW3" s="128"/>
      <c r="AX3" s="128"/>
      <c r="AY3" s="128"/>
      <c r="AZ3" s="128"/>
      <c r="BA3" s="128"/>
      <c r="BB3" s="131"/>
      <c r="BC3" s="92"/>
      <c r="BD3" s="94"/>
      <c r="BE3" s="94"/>
      <c r="BF3" s="94"/>
      <c r="BG3" s="120"/>
      <c r="BH3" s="120"/>
      <c r="BI3" s="94"/>
      <c r="BJ3" s="120"/>
      <c r="BK3" s="120"/>
      <c r="BL3" s="122"/>
      <c r="BM3" s="92"/>
      <c r="BN3" s="94"/>
      <c r="BO3" s="94"/>
      <c r="BP3" s="94"/>
      <c r="BQ3" s="120" t="str">
        <f>[1]Лист2!$A$26</f>
        <v>tonic-clonic</v>
      </c>
      <c r="BR3" s="120"/>
      <c r="BS3" s="94"/>
      <c r="BT3" s="120"/>
      <c r="BU3" s="120"/>
      <c r="BV3" s="122"/>
      <c r="BW3" s="92"/>
      <c r="BX3" s="94"/>
      <c r="BY3" s="94"/>
      <c r="BZ3" s="94"/>
      <c r="CA3" s="120"/>
      <c r="CB3" s="120"/>
      <c r="CC3" s="94"/>
      <c r="CD3" s="120"/>
      <c r="CE3" s="120"/>
      <c r="CF3" s="122"/>
      <c r="CG3" s="92"/>
      <c r="CH3" s="94"/>
      <c r="CI3" s="94"/>
      <c r="CJ3" s="94"/>
      <c r="CK3" s="120" t="str">
        <f>[1]Лист2!$A$26</f>
        <v>tonic-clonic</v>
      </c>
      <c r="CL3" s="120"/>
      <c r="CM3" s="94"/>
      <c r="CN3" s="120"/>
      <c r="CO3" s="120"/>
      <c r="CP3" s="122"/>
      <c r="CQ3" s="118"/>
      <c r="CR3" s="120"/>
      <c r="CS3" s="120" t="s">
        <v>147</v>
      </c>
      <c r="CT3" s="120"/>
      <c r="CU3" s="120" t="str">
        <f>[1]Лист2!$I$23</f>
        <v>FCD typ 1-2</v>
      </c>
      <c r="CV3" s="133"/>
      <c r="CW3" s="135"/>
      <c r="CX3" s="135"/>
      <c r="CY3" s="135"/>
      <c r="CZ3" s="135"/>
      <c r="DA3" s="135"/>
      <c r="DB3" s="135"/>
      <c r="DC3" s="135"/>
      <c r="DD3" s="135"/>
      <c r="DE3" s="135"/>
      <c r="DF3" s="135"/>
      <c r="DG3" s="135"/>
      <c r="DH3" s="133"/>
      <c r="DI3" s="133"/>
      <c r="DJ3" s="133"/>
      <c r="DK3" s="133"/>
      <c r="DL3" s="133"/>
      <c r="DM3" s="135"/>
      <c r="DN3" s="135"/>
      <c r="DO3" s="135"/>
      <c r="DP3" s="133"/>
      <c r="DQ3" s="135"/>
      <c r="DR3" s="137"/>
      <c r="DS3" s="137"/>
      <c r="DT3" s="137"/>
      <c r="DU3" s="137"/>
      <c r="DV3" s="137"/>
      <c r="DW3" s="137"/>
      <c r="DX3" s="137"/>
      <c r="DY3" s="137"/>
      <c r="DZ3" s="139"/>
      <c r="EA3" s="141"/>
      <c r="EB3" s="143"/>
      <c r="EC3" s="143"/>
      <c r="ED3" s="143"/>
      <c r="EE3" s="145"/>
      <c r="EF3" s="145"/>
      <c r="EG3" s="145"/>
      <c r="EH3" s="145"/>
      <c r="EI3" s="143"/>
      <c r="EJ3" s="143"/>
      <c r="EK3" s="143"/>
      <c r="EL3" s="143"/>
      <c r="EM3" s="143"/>
      <c r="EN3" s="143"/>
      <c r="EO3" s="143"/>
      <c r="EP3" s="143"/>
      <c r="EQ3" s="143"/>
      <c r="ER3" s="143"/>
      <c r="ES3" s="143"/>
      <c r="ET3" s="143"/>
      <c r="EU3" s="143"/>
      <c r="EV3" s="143"/>
      <c r="EW3" s="143"/>
      <c r="EX3" s="147"/>
      <c r="EY3" s="147"/>
      <c r="EZ3" s="147"/>
      <c r="FA3" s="147"/>
      <c r="FB3" s="147"/>
      <c r="FC3" s="147"/>
      <c r="FD3" s="147"/>
      <c r="FE3" s="147"/>
      <c r="FF3" s="147"/>
      <c r="FG3" s="233"/>
      <c r="FH3" s="149"/>
      <c r="FI3" s="135"/>
      <c r="FJ3" s="135"/>
      <c r="FK3" s="135"/>
      <c r="FL3" s="135"/>
      <c r="FM3" s="135"/>
      <c r="FN3" s="135"/>
      <c r="FO3" s="135"/>
      <c r="FP3" s="135"/>
      <c r="FQ3" s="135"/>
      <c r="FR3" s="135"/>
      <c r="FS3" s="135"/>
      <c r="FT3" s="135"/>
      <c r="FU3" s="135"/>
      <c r="FV3" s="150"/>
      <c r="FW3" s="151"/>
      <c r="FX3" s="153"/>
      <c r="FY3" s="145"/>
      <c r="FZ3" s="145"/>
      <c r="GA3" s="145"/>
      <c r="GB3" s="145"/>
      <c r="GC3" s="154"/>
      <c r="GD3" s="155"/>
      <c r="GE3" s="155"/>
      <c r="GF3" s="151"/>
      <c r="GG3" s="151"/>
      <c r="GH3" s="151"/>
      <c r="GI3" s="151"/>
      <c r="GJ3" s="151"/>
      <c r="GK3" s="151"/>
      <c r="GL3" s="151"/>
      <c r="GM3" s="157"/>
      <c r="GN3" s="133"/>
      <c r="GO3" s="133"/>
      <c r="GP3" s="133"/>
      <c r="GQ3" s="133"/>
      <c r="GR3" s="133"/>
      <c r="GS3" s="133"/>
      <c r="GT3" s="133"/>
      <c r="GU3" s="133"/>
      <c r="GV3" s="133"/>
      <c r="GW3" s="133"/>
      <c r="GX3" s="133"/>
      <c r="GY3" s="133"/>
      <c r="GZ3" s="133"/>
      <c r="HA3" s="133"/>
      <c r="HB3" s="133"/>
      <c r="HC3" s="133"/>
      <c r="HD3" s="133"/>
      <c r="HE3" s="133"/>
      <c r="HF3" s="133"/>
      <c r="HG3" s="133"/>
      <c r="HH3" s="133"/>
      <c r="HI3" s="133"/>
      <c r="HJ3" s="133"/>
      <c r="HK3" s="159"/>
      <c r="HL3" s="161"/>
      <c r="HM3" s="163"/>
      <c r="HN3" s="165"/>
      <c r="HO3" s="166"/>
      <c r="HP3" s="166"/>
      <c r="HQ3" s="166"/>
      <c r="HR3" s="166"/>
      <c r="HS3" s="166"/>
      <c r="HT3" s="166"/>
      <c r="HU3" s="166"/>
      <c r="HV3" s="166"/>
      <c r="HW3" s="166"/>
      <c r="HX3" s="166"/>
      <c r="HY3" s="166"/>
      <c r="HZ3" s="166"/>
      <c r="IA3" s="166"/>
      <c r="IB3" s="166"/>
      <c r="IC3" s="166"/>
      <c r="ID3" s="166"/>
      <c r="IE3" s="166"/>
      <c r="IF3" s="166"/>
      <c r="IG3" s="166"/>
      <c r="IH3" s="166"/>
      <c r="II3" s="166"/>
      <c r="IJ3" s="166"/>
      <c r="IK3" s="168"/>
      <c r="IL3" s="168"/>
      <c r="IM3" s="157"/>
      <c r="IN3" s="133"/>
      <c r="IO3" s="133"/>
      <c r="IP3" s="133"/>
      <c r="IQ3" s="133"/>
      <c r="IR3" s="133"/>
      <c r="IS3" s="133"/>
      <c r="IT3" s="135"/>
      <c r="IU3" s="135"/>
      <c r="IV3" s="170"/>
      <c r="IW3" s="172"/>
      <c r="IX3" s="143"/>
      <c r="IY3" s="145"/>
      <c r="IZ3" s="145"/>
      <c r="JA3" s="174"/>
      <c r="JB3" s="176"/>
      <c r="JC3" s="137"/>
      <c r="JD3" s="135"/>
      <c r="JE3" s="135"/>
      <c r="JF3" s="178"/>
      <c r="JG3" s="181"/>
      <c r="JH3" s="184"/>
      <c r="JI3" s="184"/>
      <c r="JJ3" s="187"/>
      <c r="JK3" s="190"/>
      <c r="JL3" s="193"/>
      <c r="JM3" s="190"/>
      <c r="JN3" s="196"/>
      <c r="JO3" s="199"/>
      <c r="JP3" s="199"/>
      <c r="JQ3" s="199"/>
      <c r="JR3" s="199"/>
      <c r="JS3" s="202"/>
      <c r="JT3" s="202"/>
      <c r="JU3" s="202"/>
      <c r="JV3" s="201"/>
      <c r="JW3" s="202"/>
      <c r="JX3" s="206"/>
      <c r="JY3" s="238"/>
      <c r="JZ3" s="202"/>
      <c r="KA3" s="202"/>
    </row>
    <row r="4" spans="1:287" s="31" customFormat="1" ht="15.75" thickBot="1" x14ac:dyDescent="0.3">
      <c r="K4" s="43"/>
      <c r="L4" s="44"/>
      <c r="P4" s="45"/>
      <c r="Q4" s="46"/>
      <c r="U4" s="43"/>
      <c r="V4" s="44"/>
      <c r="Y4" s="32"/>
      <c r="Z4" s="32"/>
      <c r="AA4" s="32"/>
      <c r="AB4" s="40"/>
      <c r="AC4" s="46"/>
      <c r="AI4" s="43"/>
      <c r="AJ4" s="44"/>
      <c r="AW4" s="45"/>
      <c r="AX4" s="46"/>
      <c r="BJ4" s="43"/>
      <c r="BK4" s="44"/>
      <c r="BW4" s="45"/>
      <c r="BX4" s="46"/>
      <c r="BZ4" s="43"/>
      <c r="CA4" s="44"/>
      <c r="CC4" s="45"/>
      <c r="CD4" s="46"/>
      <c r="CJ4" s="43"/>
      <c r="CK4" s="44"/>
      <c r="CO4" s="45"/>
      <c r="CP4" s="46"/>
      <c r="CY4" s="43"/>
      <c r="CZ4" s="44"/>
      <c r="DI4" s="45"/>
      <c r="DJ4" s="46"/>
      <c r="ES4" s="43"/>
      <c r="ET4" s="44"/>
      <c r="FQ4" s="45"/>
      <c r="FR4" s="46"/>
      <c r="FT4" s="54"/>
      <c r="FU4" s="44"/>
      <c r="FZ4" s="43"/>
      <c r="GA4" s="57"/>
      <c r="GB4" s="49"/>
      <c r="GC4" s="46"/>
      <c r="GH4" s="45"/>
      <c r="GI4" s="44"/>
      <c r="GZ4" s="60"/>
      <c r="HG4" s="45"/>
      <c r="HH4" s="46"/>
      <c r="IF4" s="43"/>
      <c r="IG4" s="44"/>
      <c r="IP4" s="45"/>
      <c r="IQ4" s="46"/>
      <c r="IU4" s="43"/>
      <c r="IV4" s="44"/>
      <c r="IZ4" s="45"/>
      <c r="JA4" s="46"/>
      <c r="JD4" s="43"/>
      <c r="JE4" s="44"/>
      <c r="JF4" s="45"/>
      <c r="JG4" s="44"/>
      <c r="JT4" s="45"/>
      <c r="JU4" s="61"/>
    </row>
    <row r="5" spans="1:287" s="32" customFormat="1" ht="14.45" customHeight="1" x14ac:dyDescent="0.25">
      <c r="K5" s="38"/>
      <c r="L5" s="39"/>
      <c r="P5" s="40"/>
      <c r="Q5" s="47"/>
      <c r="U5" s="38"/>
      <c r="V5" s="39"/>
      <c r="AB5" s="40"/>
      <c r="AC5" s="47"/>
      <c r="AI5" s="38"/>
      <c r="AJ5" s="39"/>
      <c r="AW5" s="40"/>
      <c r="AX5" s="47"/>
      <c r="BJ5" s="38"/>
      <c r="BK5" s="39"/>
      <c r="BW5" s="40"/>
      <c r="BX5" s="47"/>
      <c r="BZ5" s="38"/>
      <c r="CA5" s="39"/>
      <c r="CC5" s="40"/>
      <c r="CD5" s="47"/>
      <c r="CJ5" s="38"/>
      <c r="CK5" s="39"/>
      <c r="CO5" s="40"/>
      <c r="CP5" s="47"/>
      <c r="CY5" s="38"/>
      <c r="CZ5" s="39"/>
      <c r="DI5" s="40"/>
      <c r="DJ5" s="47"/>
      <c r="DP5" s="48"/>
      <c r="DQ5" s="49"/>
      <c r="DS5" s="49"/>
      <c r="DT5" s="49"/>
      <c r="DU5" s="49"/>
      <c r="DV5" s="49"/>
      <c r="DW5" s="49"/>
      <c r="DX5" s="49"/>
      <c r="DZ5" s="49"/>
      <c r="EG5" s="49"/>
      <c r="EK5" s="49"/>
      <c r="EL5" s="49"/>
      <c r="EM5" s="49"/>
      <c r="EN5" s="49"/>
      <c r="EO5" s="49"/>
      <c r="EP5" s="49"/>
      <c r="EQ5" s="49"/>
      <c r="ES5" s="51"/>
      <c r="ET5" s="52"/>
      <c r="EU5" s="49"/>
      <c r="EV5" s="49"/>
      <c r="EW5" s="49"/>
      <c r="EX5" s="49"/>
      <c r="EY5" s="49"/>
      <c r="EZ5" s="49"/>
      <c r="FA5" s="49"/>
      <c r="FB5" s="49"/>
      <c r="FC5" s="49"/>
      <c r="FD5" s="49"/>
      <c r="FE5" s="49"/>
      <c r="FF5" s="49"/>
      <c r="FG5" s="49"/>
      <c r="FH5" s="49"/>
      <c r="FI5" s="49"/>
      <c r="FJ5" s="49"/>
      <c r="FK5" s="49"/>
      <c r="FL5" s="49"/>
      <c r="FM5" s="49"/>
      <c r="FN5" s="49"/>
      <c r="FO5" s="49"/>
      <c r="FP5" s="49"/>
      <c r="FQ5" s="55"/>
      <c r="FR5" s="47"/>
      <c r="FT5" s="38"/>
      <c r="FU5" s="39"/>
      <c r="FV5" s="49"/>
      <c r="FW5" s="49"/>
      <c r="FX5" s="49"/>
      <c r="FY5" s="49"/>
      <c r="FZ5" s="51"/>
      <c r="GA5" s="58"/>
      <c r="GB5" s="49"/>
      <c r="GC5" s="59"/>
      <c r="GD5" s="49"/>
      <c r="GE5" s="49"/>
      <c r="GF5" s="49"/>
      <c r="GG5" s="49"/>
      <c r="GH5" s="55"/>
      <c r="GI5" s="39"/>
      <c r="HG5" s="40"/>
      <c r="HH5" s="47"/>
      <c r="IF5" s="38"/>
      <c r="IG5" s="52"/>
      <c r="IH5" s="49"/>
      <c r="IP5" s="40"/>
      <c r="IQ5" s="59"/>
      <c r="IR5" s="49"/>
      <c r="IS5" s="49"/>
      <c r="IT5" s="49"/>
      <c r="IU5" s="51"/>
      <c r="IV5" s="52"/>
      <c r="IW5" s="49"/>
      <c r="IX5" s="49"/>
      <c r="IY5" s="49"/>
      <c r="IZ5" s="40"/>
      <c r="JA5" s="47"/>
      <c r="JD5" s="38"/>
      <c r="JE5" s="39"/>
      <c r="JF5" s="40"/>
      <c r="JG5" s="39"/>
      <c r="JT5" s="40"/>
      <c r="JU5" s="42"/>
    </row>
    <row r="6" spans="1:287" s="32" customFormat="1" x14ac:dyDescent="0.25">
      <c r="K6" s="38"/>
      <c r="L6" s="39"/>
      <c r="P6" s="40"/>
      <c r="Q6" s="47"/>
      <c r="U6" s="38"/>
      <c r="V6" s="39"/>
      <c r="Y6" s="33"/>
      <c r="Z6" s="33"/>
      <c r="AA6" s="33"/>
      <c r="AB6" s="36"/>
      <c r="AC6" s="47"/>
      <c r="AI6" s="38"/>
      <c r="AJ6" s="39"/>
      <c r="AW6" s="40"/>
      <c r="AX6" s="47"/>
      <c r="BJ6" s="38"/>
      <c r="BK6" s="39"/>
      <c r="BW6" s="40"/>
      <c r="BX6" s="47"/>
      <c r="BZ6" s="38"/>
      <c r="CA6" s="39"/>
      <c r="CC6" s="40"/>
      <c r="CD6" s="47"/>
      <c r="CJ6" s="38"/>
      <c r="CK6" s="39"/>
      <c r="CO6" s="40"/>
      <c r="CP6" s="47"/>
      <c r="CY6" s="38"/>
      <c r="CZ6" s="39"/>
      <c r="DI6" s="40"/>
      <c r="DJ6" s="47"/>
      <c r="DP6" s="48"/>
      <c r="DQ6" s="49"/>
      <c r="DS6" s="49"/>
      <c r="DT6" s="49"/>
      <c r="DU6" s="49"/>
      <c r="DV6" s="49"/>
      <c r="DW6" s="49"/>
      <c r="DX6" s="49"/>
      <c r="DZ6" s="49"/>
      <c r="EG6" s="49"/>
      <c r="EK6" s="49"/>
      <c r="EL6" s="49"/>
      <c r="EM6" s="49"/>
      <c r="EN6" s="49"/>
      <c r="EO6" s="49"/>
      <c r="EP6" s="49"/>
      <c r="EQ6" s="49"/>
      <c r="ES6" s="51"/>
      <c r="ET6" s="52"/>
      <c r="EU6" s="49"/>
      <c r="EV6" s="49"/>
      <c r="EW6" s="49"/>
      <c r="EX6" s="49"/>
      <c r="EY6" s="49"/>
      <c r="EZ6" s="49"/>
      <c r="FA6" s="49"/>
      <c r="FB6" s="49"/>
      <c r="FC6" s="49"/>
      <c r="FD6" s="49"/>
      <c r="FE6" s="49"/>
      <c r="FF6" s="49"/>
      <c r="FG6" s="49"/>
      <c r="FH6" s="49"/>
      <c r="FI6" s="49"/>
      <c r="FJ6" s="49"/>
      <c r="FK6" s="49"/>
      <c r="FL6" s="49"/>
      <c r="FM6" s="49"/>
      <c r="FN6" s="49"/>
      <c r="FO6" s="49"/>
      <c r="FP6" s="49"/>
      <c r="FQ6" s="55"/>
      <c r="FR6" s="47"/>
      <c r="FT6" s="38"/>
      <c r="FU6" s="39"/>
      <c r="FV6" s="49"/>
      <c r="FW6" s="49"/>
      <c r="FX6" s="49"/>
      <c r="FY6" s="49"/>
      <c r="FZ6" s="51"/>
      <c r="GA6" s="58"/>
      <c r="GB6" s="33"/>
      <c r="GC6" s="59"/>
      <c r="GD6" s="49"/>
      <c r="GE6" s="49"/>
      <c r="GF6" s="49"/>
      <c r="GG6" s="49"/>
      <c r="GH6" s="55"/>
      <c r="GI6" s="39"/>
      <c r="HG6" s="40"/>
      <c r="HH6" s="47"/>
      <c r="IF6" s="38"/>
      <c r="IG6" s="39"/>
      <c r="IP6" s="40"/>
      <c r="IQ6" s="47"/>
      <c r="IU6" s="38"/>
      <c r="IV6" s="39"/>
      <c r="IZ6" s="40"/>
      <c r="JA6" s="47"/>
      <c r="JD6" s="38"/>
      <c r="JE6" s="39"/>
      <c r="JF6" s="40"/>
      <c r="JG6" s="39"/>
      <c r="JT6" s="40"/>
      <c r="JU6" s="42"/>
    </row>
    <row r="7" spans="1:287" s="32" customFormat="1" x14ac:dyDescent="0.25">
      <c r="K7" s="38"/>
      <c r="L7" s="39"/>
      <c r="P7" s="40"/>
      <c r="Q7" s="47"/>
      <c r="U7" s="38"/>
      <c r="V7" s="39"/>
      <c r="Y7" s="33"/>
      <c r="Z7" s="33"/>
      <c r="AA7" s="33"/>
      <c r="AB7" s="36"/>
      <c r="AC7" s="47"/>
      <c r="AI7" s="38"/>
      <c r="AJ7" s="39"/>
      <c r="AW7" s="40"/>
      <c r="AX7" s="47"/>
      <c r="BJ7" s="38"/>
      <c r="BK7" s="39"/>
      <c r="BW7" s="40"/>
      <c r="BX7" s="47"/>
      <c r="BZ7" s="38"/>
      <c r="CA7" s="39"/>
      <c r="CC7" s="40"/>
      <c r="CD7" s="47"/>
      <c r="CJ7" s="38"/>
      <c r="CK7" s="39"/>
      <c r="CO7" s="40"/>
      <c r="CP7" s="47"/>
      <c r="CY7" s="38"/>
      <c r="CZ7" s="39"/>
      <c r="DI7" s="40"/>
      <c r="DJ7" s="47"/>
      <c r="DP7" s="48"/>
      <c r="DQ7" s="49"/>
      <c r="DS7" s="49"/>
      <c r="DT7" s="49"/>
      <c r="DU7" s="49"/>
      <c r="DV7" s="49"/>
      <c r="DW7" s="49"/>
      <c r="DX7" s="49"/>
      <c r="DZ7" s="49"/>
      <c r="EG7" s="49"/>
      <c r="EK7" s="49"/>
      <c r="EL7" s="49"/>
      <c r="EM7" s="49"/>
      <c r="EN7" s="49"/>
      <c r="EO7" s="49"/>
      <c r="EP7" s="49"/>
      <c r="EQ7" s="49"/>
      <c r="ES7" s="51"/>
      <c r="ET7" s="52"/>
      <c r="EU7" s="49"/>
      <c r="EV7" s="49"/>
      <c r="EW7" s="49"/>
      <c r="EX7" s="49"/>
      <c r="EY7" s="49"/>
      <c r="EZ7" s="49"/>
      <c r="FA7" s="49"/>
      <c r="FJ7" s="49"/>
      <c r="FK7" s="49"/>
      <c r="FL7" s="49"/>
      <c r="FM7" s="49"/>
      <c r="FN7" s="49"/>
      <c r="FO7" s="49"/>
      <c r="FP7" s="49"/>
      <c r="FQ7" s="55"/>
      <c r="FR7" s="47"/>
      <c r="FT7" s="38"/>
      <c r="FU7" s="39"/>
      <c r="FV7" s="49"/>
      <c r="FW7" s="49"/>
      <c r="FX7" s="49"/>
      <c r="FY7" s="49"/>
      <c r="FZ7" s="51"/>
      <c r="GA7" s="58"/>
      <c r="GB7" s="33"/>
      <c r="GC7" s="59"/>
      <c r="GD7" s="49"/>
      <c r="GE7" s="49"/>
      <c r="GF7" s="49"/>
      <c r="GG7" s="49"/>
      <c r="GH7" s="55"/>
      <c r="GI7" s="39"/>
      <c r="HG7" s="40"/>
      <c r="HH7" s="47"/>
      <c r="IF7" s="38"/>
      <c r="IG7" s="39"/>
      <c r="IP7" s="40"/>
      <c r="IQ7" s="47"/>
      <c r="IU7" s="38"/>
      <c r="IV7" s="39"/>
      <c r="IZ7" s="40"/>
      <c r="JA7" s="47"/>
      <c r="JD7" s="38"/>
      <c r="JE7" s="39"/>
      <c r="JF7" s="40"/>
      <c r="JG7" s="39"/>
      <c r="JT7" s="40"/>
      <c r="JU7" s="42"/>
    </row>
    <row r="8" spans="1:287" x14ac:dyDescent="0.25">
      <c r="DP8" s="48"/>
      <c r="DQ8" s="50"/>
      <c r="DS8" s="50"/>
      <c r="DT8" s="50"/>
      <c r="DU8" s="50"/>
      <c r="DV8" s="50"/>
      <c r="DW8" s="50"/>
      <c r="DX8" s="50"/>
      <c r="DZ8" s="50"/>
      <c r="EG8" s="50"/>
      <c r="EK8" s="50"/>
      <c r="EL8" s="50"/>
      <c r="EM8" s="50"/>
      <c r="EN8" s="50"/>
      <c r="EO8" s="50"/>
      <c r="EP8" s="50"/>
      <c r="EQ8" s="50"/>
      <c r="ES8" s="53"/>
      <c r="FJ8" s="50"/>
      <c r="FK8" s="50"/>
      <c r="FL8" s="50"/>
      <c r="FM8" s="50"/>
      <c r="FN8" s="50"/>
      <c r="FO8" s="50"/>
      <c r="FP8" s="50"/>
      <c r="FQ8" s="56"/>
    </row>
    <row r="9" spans="1:287" x14ac:dyDescent="0.25">
      <c r="FJ9" s="50"/>
      <c r="FK9" s="50"/>
      <c r="FL9" s="50"/>
      <c r="FM9" s="50"/>
      <c r="FN9" s="50"/>
      <c r="FO9" s="50"/>
      <c r="FP9" s="50"/>
      <c r="FQ9" s="56"/>
    </row>
  </sheetData>
  <mergeCells count="304">
    <mergeCell ref="JZ1:JZ3"/>
    <mergeCell ref="KA1:KA3"/>
    <mergeCell ref="JQ1:JQ3"/>
    <mergeCell ref="JR1:JR3"/>
    <mergeCell ref="JS1:JS3"/>
    <mergeCell ref="JT1:JT3"/>
    <mergeCell ref="JU1:JU3"/>
    <mergeCell ref="JV1:JV3"/>
    <mergeCell ref="JW1:JW3"/>
    <mergeCell ref="JX1:JX3"/>
    <mergeCell ref="JY1:JY3"/>
    <mergeCell ref="JP1:JP3"/>
    <mergeCell ref="BA1:BA3"/>
    <mergeCell ref="FL2:FL3"/>
    <mergeCell ref="FM2:FM3"/>
    <mergeCell ref="FN2:FN3"/>
    <mergeCell ref="FO2:FO3"/>
    <mergeCell ref="FP2:FP3"/>
    <mergeCell ref="FQ2:FQ3"/>
    <mergeCell ref="FR2:FR3"/>
    <mergeCell ref="FS2:FS3"/>
    <mergeCell ref="FT2:FT3"/>
    <mergeCell ref="FU2:FU3"/>
    <mergeCell ref="FW1:GL1"/>
    <mergeCell ref="FG1:FV1"/>
    <mergeCell ref="JO1:JO3"/>
    <mergeCell ref="JG1:JG3"/>
    <mergeCell ref="JH1:JH3"/>
    <mergeCell ref="JI1:JI3"/>
    <mergeCell ref="JJ1:JJ3"/>
    <mergeCell ref="JK1:JK3"/>
    <mergeCell ref="JL1:JL3"/>
    <mergeCell ref="JM1:JM3"/>
    <mergeCell ref="JN1:JN3"/>
    <mergeCell ref="IY2:IY3"/>
    <mergeCell ref="IZ2:IZ3"/>
    <mergeCell ref="JA2:JA3"/>
    <mergeCell ref="JB2:JB3"/>
    <mergeCell ref="JC2:JC3"/>
    <mergeCell ref="JD2:JD3"/>
    <mergeCell ref="JE2:JE3"/>
    <mergeCell ref="JF2:JF3"/>
    <mergeCell ref="IP2:IP3"/>
    <mergeCell ref="IQ2:IQ3"/>
    <mergeCell ref="IR2:IR3"/>
    <mergeCell ref="IS2:IS3"/>
    <mergeCell ref="IT2:IT3"/>
    <mergeCell ref="IU2:IU3"/>
    <mergeCell ref="IV2:IV3"/>
    <mergeCell ref="IW2:IW3"/>
    <mergeCell ref="IX2:IX3"/>
    <mergeCell ref="IG2:IG3"/>
    <mergeCell ref="IH2:IH3"/>
    <mergeCell ref="II2:II3"/>
    <mergeCell ref="IJ2:IJ3"/>
    <mergeCell ref="IK2:IK3"/>
    <mergeCell ref="IL2:IL3"/>
    <mergeCell ref="IM2:IM3"/>
    <mergeCell ref="IN2:IN3"/>
    <mergeCell ref="IO2:IO3"/>
    <mergeCell ref="HX2:HX3"/>
    <mergeCell ref="HY2:HY3"/>
    <mergeCell ref="HZ2:HZ3"/>
    <mergeCell ref="IA2:IA3"/>
    <mergeCell ref="IB2:IB3"/>
    <mergeCell ref="IC2:IC3"/>
    <mergeCell ref="ID2:ID3"/>
    <mergeCell ref="IE2:IE3"/>
    <mergeCell ref="IF2:IF3"/>
    <mergeCell ref="HO2:HO3"/>
    <mergeCell ref="HP2:HP3"/>
    <mergeCell ref="HQ2:HQ3"/>
    <mergeCell ref="HR2:HR3"/>
    <mergeCell ref="HS2:HS3"/>
    <mergeCell ref="HT2:HT3"/>
    <mergeCell ref="HU2:HU3"/>
    <mergeCell ref="HV2:HV3"/>
    <mergeCell ref="HW2:HW3"/>
    <mergeCell ref="HF2:HF3"/>
    <mergeCell ref="HG2:HG3"/>
    <mergeCell ref="HH2:HH3"/>
    <mergeCell ref="HI2:HI3"/>
    <mergeCell ref="HJ2:HJ3"/>
    <mergeCell ref="HK2:HK3"/>
    <mergeCell ref="HL2:HL3"/>
    <mergeCell ref="HM2:HM3"/>
    <mergeCell ref="HN2:HN3"/>
    <mergeCell ref="GW2:GW3"/>
    <mergeCell ref="GX2:GX3"/>
    <mergeCell ref="GY2:GY3"/>
    <mergeCell ref="GZ2:GZ3"/>
    <mergeCell ref="HA2:HA3"/>
    <mergeCell ref="HB2:HB3"/>
    <mergeCell ref="HC2:HC3"/>
    <mergeCell ref="HD2:HD3"/>
    <mergeCell ref="HE2:HE3"/>
    <mergeCell ref="GN2:GN3"/>
    <mergeCell ref="GO2:GO3"/>
    <mergeCell ref="GP2:GP3"/>
    <mergeCell ref="GQ2:GQ3"/>
    <mergeCell ref="GR2:GR3"/>
    <mergeCell ref="GS2:GS3"/>
    <mergeCell ref="GT2:GT3"/>
    <mergeCell ref="GU2:GU3"/>
    <mergeCell ref="GV2:GV3"/>
    <mergeCell ref="GE2:GE3"/>
    <mergeCell ref="GF2:GF3"/>
    <mergeCell ref="GG2:GG3"/>
    <mergeCell ref="GH2:GH3"/>
    <mergeCell ref="GI2:GI3"/>
    <mergeCell ref="GJ2:GJ3"/>
    <mergeCell ref="GK2:GK3"/>
    <mergeCell ref="GL2:GL3"/>
    <mergeCell ref="GM2:GM3"/>
    <mergeCell ref="FV2:FV3"/>
    <mergeCell ref="FW2:FW3"/>
    <mergeCell ref="FX2:FX3"/>
    <mergeCell ref="FY2:FY3"/>
    <mergeCell ref="FZ2:FZ3"/>
    <mergeCell ref="GA2:GA3"/>
    <mergeCell ref="GB2:GB3"/>
    <mergeCell ref="GC2:GC3"/>
    <mergeCell ref="GD2:GD3"/>
    <mergeCell ref="FC2:FC3"/>
    <mergeCell ref="FD2:FD3"/>
    <mergeCell ref="FE2:FE3"/>
    <mergeCell ref="FF2:FF3"/>
    <mergeCell ref="FG2:FG3"/>
    <mergeCell ref="FH2:FH3"/>
    <mergeCell ref="FI2:FI3"/>
    <mergeCell ref="FJ2:FJ3"/>
    <mergeCell ref="FK2:FK3"/>
    <mergeCell ref="ET2:ET3"/>
    <mergeCell ref="EU2:EU3"/>
    <mergeCell ref="EV2:EV3"/>
    <mergeCell ref="EW2:EW3"/>
    <mergeCell ref="EX2:EX3"/>
    <mergeCell ref="EY2:EY3"/>
    <mergeCell ref="EZ2:EZ3"/>
    <mergeCell ref="FA2:FA3"/>
    <mergeCell ref="FB2:FB3"/>
    <mergeCell ref="EK2:EK3"/>
    <mergeCell ref="EL2:EL3"/>
    <mergeCell ref="EM2:EM3"/>
    <mergeCell ref="EN2:EN3"/>
    <mergeCell ref="EO2:EO3"/>
    <mergeCell ref="EP2:EP3"/>
    <mergeCell ref="EQ2:EQ3"/>
    <mergeCell ref="ER2:ER3"/>
    <mergeCell ref="ES2:ES3"/>
    <mergeCell ref="EB2:EB3"/>
    <mergeCell ref="EC2:EC3"/>
    <mergeCell ref="ED2:ED3"/>
    <mergeCell ref="EE2:EE3"/>
    <mergeCell ref="EF2:EF3"/>
    <mergeCell ref="EG2:EG3"/>
    <mergeCell ref="EH2:EH3"/>
    <mergeCell ref="EI2:EI3"/>
    <mergeCell ref="EJ2:EJ3"/>
    <mergeCell ref="DS2:DS3"/>
    <mergeCell ref="DT2:DT3"/>
    <mergeCell ref="DU2:DU3"/>
    <mergeCell ref="DV2:DV3"/>
    <mergeCell ref="DW2:DW3"/>
    <mergeCell ref="DX2:DX3"/>
    <mergeCell ref="DY2:DY3"/>
    <mergeCell ref="DZ2:DZ3"/>
    <mergeCell ref="EA2:EA3"/>
    <mergeCell ref="DJ2:DJ3"/>
    <mergeCell ref="DK2:DK3"/>
    <mergeCell ref="DL2:DL3"/>
    <mergeCell ref="DM2:DM3"/>
    <mergeCell ref="DN2:DN3"/>
    <mergeCell ref="DO2:DO3"/>
    <mergeCell ref="DP2:DP3"/>
    <mergeCell ref="DQ2:DQ3"/>
    <mergeCell ref="DR2:DR3"/>
    <mergeCell ref="DA2:DA3"/>
    <mergeCell ref="DB2:DB3"/>
    <mergeCell ref="DC2:DC3"/>
    <mergeCell ref="DD2:DD3"/>
    <mergeCell ref="DE2:DE3"/>
    <mergeCell ref="DF2:DF3"/>
    <mergeCell ref="DG2:DG3"/>
    <mergeCell ref="DH2:DH3"/>
    <mergeCell ref="DI2:DI3"/>
    <mergeCell ref="CR2:CR3"/>
    <mergeCell ref="CS2:CS3"/>
    <mergeCell ref="CT2:CT3"/>
    <mergeCell ref="CU2:CU3"/>
    <mergeCell ref="CV2:CV3"/>
    <mergeCell ref="CW2:CW3"/>
    <mergeCell ref="CX2:CX3"/>
    <mergeCell ref="CY2:CY3"/>
    <mergeCell ref="CZ2:CZ3"/>
    <mergeCell ref="CI2:CI3"/>
    <mergeCell ref="CJ2:CJ3"/>
    <mergeCell ref="CK2:CK3"/>
    <mergeCell ref="CL2:CL3"/>
    <mergeCell ref="CM2:CM3"/>
    <mergeCell ref="CN2:CN3"/>
    <mergeCell ref="CO2:CO3"/>
    <mergeCell ref="CP2:CP3"/>
    <mergeCell ref="CQ2:CQ3"/>
    <mergeCell ref="BZ2:BZ3"/>
    <mergeCell ref="CA2:CA3"/>
    <mergeCell ref="CB2:CB3"/>
    <mergeCell ref="CC2:CC3"/>
    <mergeCell ref="CD2:CD3"/>
    <mergeCell ref="CE2:CE3"/>
    <mergeCell ref="CF2:CF3"/>
    <mergeCell ref="CG2:CG3"/>
    <mergeCell ref="CH2:CH3"/>
    <mergeCell ref="BQ2:BQ3"/>
    <mergeCell ref="BR2:BR3"/>
    <mergeCell ref="BS2:BS3"/>
    <mergeCell ref="BT2:BT3"/>
    <mergeCell ref="BU2:BU3"/>
    <mergeCell ref="BV2:BV3"/>
    <mergeCell ref="BW2:BW3"/>
    <mergeCell ref="BX2:BX3"/>
    <mergeCell ref="BY2:BY3"/>
    <mergeCell ref="AR2:AR3"/>
    <mergeCell ref="AS2:AS3"/>
    <mergeCell ref="AT2:AT3"/>
    <mergeCell ref="AU1:AU3"/>
    <mergeCell ref="AV1:AV3"/>
    <mergeCell ref="AW1:AW3"/>
    <mergeCell ref="AX1:AX3"/>
    <mergeCell ref="AY1:AY3"/>
    <mergeCell ref="AZ1:AZ3"/>
    <mergeCell ref="AI2:AI3"/>
    <mergeCell ref="AJ2:AJ3"/>
    <mergeCell ref="AK2:AK3"/>
    <mergeCell ref="AL2:AL3"/>
    <mergeCell ref="AM2:AM3"/>
    <mergeCell ref="AN2:AN3"/>
    <mergeCell ref="AO2:AO3"/>
    <mergeCell ref="AP2:AP3"/>
    <mergeCell ref="AQ2:AQ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EA1:FF1"/>
    <mergeCell ref="GM1:HL1"/>
    <mergeCell ref="HM1:IL1"/>
    <mergeCell ref="IM1:IV1"/>
    <mergeCell ref="IW1:JA1"/>
    <mergeCell ref="JB1:JF1"/>
    <mergeCell ref="A1:A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2:L3"/>
    <mergeCell ref="M2:M3"/>
    <mergeCell ref="N2:N3"/>
    <mergeCell ref="O2:O3"/>
    <mergeCell ref="P2:P3"/>
    <mergeCell ref="L1:P1"/>
    <mergeCell ref="Q1:U1"/>
    <mergeCell ref="V1:X1"/>
    <mergeCell ref="Y1:AE1"/>
    <mergeCell ref="AF1:AL1"/>
    <mergeCell ref="AM1:AT1"/>
    <mergeCell ref="BC1:BV1"/>
    <mergeCell ref="BW1:CP1"/>
    <mergeCell ref="CQ1:DZ1"/>
    <mergeCell ref="BB1:BB3"/>
    <mergeCell ref="BC2:BC3"/>
    <mergeCell ref="BD2:BD3"/>
    <mergeCell ref="BE2:BE3"/>
    <mergeCell ref="BF2:BF3"/>
    <mergeCell ref="BG2:BG3"/>
    <mergeCell ref="BH2:BH3"/>
    <mergeCell ref="BI2:BI3"/>
    <mergeCell ref="BJ2:BJ3"/>
    <mergeCell ref="BK2:BK3"/>
    <mergeCell ref="BL2:BL3"/>
    <mergeCell ref="BM2:BM3"/>
    <mergeCell ref="BN2:BN3"/>
    <mergeCell ref="BO2:BO3"/>
    <mergeCell ref="BP2:BP3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33"/>
  <sheetViews>
    <sheetView topLeftCell="Q13" zoomScale="94" zoomScaleNormal="94" workbookViewId="0">
      <selection activeCell="AE30" sqref="AE30"/>
    </sheetView>
  </sheetViews>
  <sheetFormatPr defaultColWidth="9" defaultRowHeight="15" x14ac:dyDescent="0.25"/>
  <sheetData>
    <row r="1" spans="1:37" ht="15.75" x14ac:dyDescent="0.25">
      <c r="A1" s="207" t="s">
        <v>148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08"/>
      <c r="AH1" s="208"/>
      <c r="AI1" s="208"/>
      <c r="AJ1" s="208"/>
      <c r="AK1" s="208"/>
    </row>
    <row r="2" spans="1:37" ht="15.75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 ht="15.75" x14ac:dyDescent="0.25">
      <c r="A3" s="209" t="s">
        <v>149</v>
      </c>
      <c r="B3" s="210"/>
      <c r="C3" s="211"/>
      <c r="D3" s="212" t="s">
        <v>2</v>
      </c>
      <c r="E3" s="213"/>
      <c r="F3" s="213"/>
      <c r="G3" s="213"/>
      <c r="H3" s="213"/>
      <c r="I3" s="213"/>
      <c r="J3" s="213"/>
      <c r="K3" s="214"/>
      <c r="L3" s="212" t="s">
        <v>150</v>
      </c>
      <c r="M3" s="215"/>
      <c r="N3" s="215"/>
      <c r="O3" s="216"/>
      <c r="P3" s="209" t="s">
        <v>151</v>
      </c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1"/>
      <c r="AC3" s="209" t="s">
        <v>5</v>
      </c>
      <c r="AD3" s="210"/>
      <c r="AE3" s="210"/>
      <c r="AF3" s="210"/>
      <c r="AG3" s="211"/>
      <c r="AH3" s="209" t="s">
        <v>152</v>
      </c>
      <c r="AI3" s="210"/>
      <c r="AJ3" s="210"/>
      <c r="AK3" s="211"/>
    </row>
    <row r="4" spans="1:37" x14ac:dyDescent="0.25">
      <c r="A4" s="209"/>
      <c r="B4" s="210"/>
      <c r="C4" s="211"/>
      <c r="D4" s="209"/>
      <c r="E4" s="210"/>
      <c r="F4" s="210"/>
      <c r="G4" s="210"/>
      <c r="H4" s="210"/>
      <c r="I4" s="210"/>
      <c r="J4" s="210"/>
      <c r="K4" s="211"/>
      <c r="L4" s="217"/>
      <c r="M4" s="218"/>
      <c r="N4" s="218"/>
      <c r="O4" s="219"/>
      <c r="P4" s="209"/>
      <c r="Q4" s="210"/>
      <c r="R4" s="210"/>
      <c r="S4" s="210"/>
      <c r="T4" s="210"/>
      <c r="U4" s="210"/>
      <c r="V4" s="210"/>
      <c r="W4" s="210"/>
      <c r="X4" s="210"/>
      <c r="Y4" s="210"/>
      <c r="Z4" s="210"/>
      <c r="AA4" s="210"/>
      <c r="AB4" s="211"/>
      <c r="AC4" s="209"/>
      <c r="AD4" s="210"/>
      <c r="AE4" s="210"/>
      <c r="AF4" s="210"/>
      <c r="AG4" s="211"/>
      <c r="AH4" s="209"/>
      <c r="AI4" s="210"/>
      <c r="AJ4" s="210"/>
      <c r="AK4" s="211"/>
    </row>
    <row r="5" spans="1:37" x14ac:dyDescent="0.25">
      <c r="A5" s="220" t="s">
        <v>153</v>
      </c>
      <c r="B5" s="220"/>
      <c r="C5" s="220"/>
      <c r="D5" s="220"/>
      <c r="E5" s="220"/>
      <c r="F5" s="220"/>
      <c r="G5" s="220"/>
      <c r="H5" s="221" t="s">
        <v>154</v>
      </c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3"/>
    </row>
    <row r="6" spans="1:37" x14ac:dyDescent="0.25">
      <c r="A6" s="3"/>
      <c r="B6" s="4"/>
      <c r="C6" s="4"/>
      <c r="D6" s="4"/>
      <c r="E6" s="4"/>
      <c r="F6" s="5"/>
      <c r="G6" s="5"/>
      <c r="H6" s="5"/>
      <c r="I6" s="5"/>
      <c r="J6" s="5"/>
      <c r="K6" s="5"/>
      <c r="L6" s="17"/>
      <c r="M6" s="18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17"/>
      <c r="AA6" s="5"/>
      <c r="AB6" s="5"/>
      <c r="AC6" s="5"/>
      <c r="AD6" s="5"/>
      <c r="AE6" s="5"/>
      <c r="AF6" s="5"/>
      <c r="AG6" s="5"/>
      <c r="AH6" s="25"/>
      <c r="AI6" s="25"/>
      <c r="AJ6" s="25"/>
      <c r="AK6" s="26"/>
    </row>
    <row r="7" spans="1:37" x14ac:dyDescent="0.25">
      <c r="A7" s="6" t="s">
        <v>155</v>
      </c>
      <c r="B7" s="6"/>
      <c r="C7" s="6"/>
      <c r="D7" s="6"/>
      <c r="E7" s="6"/>
      <c r="F7" s="7"/>
      <c r="G7" s="8"/>
      <c r="H7" s="5" t="s">
        <v>156</v>
      </c>
      <c r="I7" s="11"/>
      <c r="J7" s="5" t="s">
        <v>157</v>
      </c>
      <c r="K7" s="11"/>
      <c r="L7" s="5" t="s">
        <v>158</v>
      </c>
      <c r="M7" s="11"/>
      <c r="N7" s="5" t="s">
        <v>159</v>
      </c>
      <c r="O7" s="11"/>
      <c r="P7" s="19" t="s">
        <v>160</v>
      </c>
      <c r="Q7" s="11"/>
      <c r="R7" s="19" t="s">
        <v>161</v>
      </c>
      <c r="S7" s="11"/>
      <c r="T7" s="19" t="s">
        <v>162</v>
      </c>
      <c r="U7" s="11"/>
      <c r="V7" s="19" t="s">
        <v>163</v>
      </c>
      <c r="W7" s="11"/>
      <c r="X7" s="19" t="s">
        <v>164</v>
      </c>
      <c r="Y7" s="11"/>
      <c r="Z7" s="19" t="s">
        <v>165</v>
      </c>
      <c r="AA7" s="11"/>
      <c r="AB7" s="19" t="s">
        <v>166</v>
      </c>
      <c r="AC7" s="11"/>
      <c r="AD7" s="19" t="s">
        <v>167</v>
      </c>
      <c r="AE7" s="11"/>
      <c r="AF7" s="19" t="s">
        <v>168</v>
      </c>
      <c r="AG7" s="11"/>
      <c r="AH7" s="22"/>
      <c r="AI7" s="5"/>
      <c r="AJ7" s="5"/>
      <c r="AK7" s="27"/>
    </row>
    <row r="8" spans="1:37" x14ac:dyDescent="0.25">
      <c r="A8" s="8"/>
      <c r="B8" s="5"/>
      <c r="C8" s="5"/>
      <c r="D8" s="5"/>
      <c r="E8" s="5"/>
      <c r="F8" s="5"/>
      <c r="G8" s="5"/>
      <c r="H8" s="5"/>
      <c r="I8" s="20"/>
      <c r="J8" s="5"/>
      <c r="K8" s="20"/>
      <c r="L8" s="5"/>
      <c r="M8" s="20"/>
      <c r="N8" s="5"/>
      <c r="O8" s="20"/>
      <c r="P8" s="19"/>
      <c r="Q8" s="20"/>
      <c r="R8" s="19"/>
      <c r="S8" s="20"/>
      <c r="T8" s="19"/>
      <c r="U8" s="20"/>
      <c r="V8" s="19"/>
      <c r="W8" s="20"/>
      <c r="X8" s="19"/>
      <c r="Y8" s="20"/>
      <c r="Z8" s="19"/>
      <c r="AA8" s="20"/>
      <c r="AB8" s="19"/>
      <c r="AC8" s="20"/>
      <c r="AD8" s="19"/>
      <c r="AE8" s="20"/>
      <c r="AF8" s="19"/>
      <c r="AG8" s="20"/>
      <c r="AH8" s="5"/>
      <c r="AI8" s="5"/>
      <c r="AJ8" s="5"/>
      <c r="AK8" s="27"/>
    </row>
    <row r="9" spans="1:37" ht="18.75" x14ac:dyDescent="0.25">
      <c r="A9" s="224" t="s">
        <v>169</v>
      </c>
      <c r="B9" s="224"/>
      <c r="C9" s="224"/>
      <c r="D9" s="224"/>
      <c r="E9" s="224"/>
      <c r="F9" s="224"/>
      <c r="G9" s="8"/>
      <c r="H9" s="5" t="s">
        <v>156</v>
      </c>
      <c r="I9" s="21"/>
      <c r="J9" s="5" t="s">
        <v>157</v>
      </c>
      <c r="K9" s="11"/>
      <c r="L9" s="5" t="s">
        <v>158</v>
      </c>
      <c r="M9" s="11"/>
      <c r="N9" s="5" t="s">
        <v>159</v>
      </c>
      <c r="O9" s="11"/>
      <c r="P9" s="19" t="s">
        <v>160</v>
      </c>
      <c r="Q9" s="11"/>
      <c r="R9" s="19" t="s">
        <v>161</v>
      </c>
      <c r="S9" s="21"/>
      <c r="T9" s="19" t="s">
        <v>162</v>
      </c>
      <c r="U9" s="11"/>
      <c r="V9" s="19" t="s">
        <v>163</v>
      </c>
      <c r="W9" s="11"/>
      <c r="X9" s="19" t="s">
        <v>164</v>
      </c>
      <c r="Y9" s="11"/>
      <c r="Z9" s="19" t="s">
        <v>165</v>
      </c>
      <c r="AA9" s="11"/>
      <c r="AB9" s="19" t="s">
        <v>166</v>
      </c>
      <c r="AC9" s="11"/>
      <c r="AD9" s="19" t="s">
        <v>167</v>
      </c>
      <c r="AE9" s="11"/>
      <c r="AF9" s="19" t="s">
        <v>168</v>
      </c>
      <c r="AG9" s="11"/>
      <c r="AH9" s="5"/>
      <c r="AI9" s="5"/>
      <c r="AJ9" s="5"/>
      <c r="AK9" s="28"/>
    </row>
    <row r="10" spans="1:37" ht="18.75" x14ac:dyDescent="0.25">
      <c r="A10" s="9"/>
      <c r="B10" s="9"/>
      <c r="C10" s="9"/>
      <c r="D10" s="9"/>
      <c r="E10" s="9"/>
      <c r="F10" s="9"/>
      <c r="G10" s="9"/>
      <c r="H10" s="9"/>
      <c r="I10" s="9"/>
      <c r="J10" s="5"/>
      <c r="K10" s="5"/>
      <c r="L10" s="5"/>
      <c r="M10" s="5"/>
      <c r="N10" s="5"/>
      <c r="O10" s="5"/>
      <c r="P10" s="19"/>
      <c r="Q10" s="5"/>
      <c r="R10" s="19"/>
      <c r="S10" s="13"/>
      <c r="T10" s="13"/>
      <c r="U10" s="5"/>
      <c r="V10" s="19"/>
      <c r="W10" s="5"/>
      <c r="X10" s="19"/>
      <c r="Y10" s="9"/>
      <c r="Z10" s="10"/>
      <c r="AA10" s="10"/>
      <c r="AB10" s="19"/>
      <c r="AC10" s="5"/>
      <c r="AD10" s="19"/>
      <c r="AE10" s="5"/>
      <c r="AF10" s="19"/>
      <c r="AG10" s="5"/>
      <c r="AH10" s="5"/>
      <c r="AI10" s="5"/>
      <c r="AJ10" s="5"/>
      <c r="AK10" s="28"/>
    </row>
    <row r="11" spans="1:37" ht="18.75" x14ac:dyDescent="0.25">
      <c r="A11" s="9"/>
      <c r="B11" s="9"/>
      <c r="C11" s="9"/>
      <c r="D11" s="9"/>
      <c r="E11" s="9"/>
      <c r="F11" s="9"/>
      <c r="G11" s="9"/>
      <c r="H11" s="9"/>
      <c r="I11" s="9"/>
      <c r="J11" s="5"/>
      <c r="K11" s="5"/>
      <c r="L11" s="5"/>
      <c r="M11" s="5"/>
      <c r="N11" s="5"/>
      <c r="O11" s="225" t="s">
        <v>170</v>
      </c>
      <c r="P11" s="226"/>
      <c r="Q11" s="226"/>
      <c r="R11" s="226"/>
      <c r="S11" s="226"/>
      <c r="T11" s="226"/>
      <c r="U11" s="226"/>
      <c r="V11" s="226"/>
      <c r="W11" s="226"/>
      <c r="X11" s="226"/>
      <c r="Y11" s="9"/>
      <c r="Z11" s="10"/>
      <c r="AA11" s="10"/>
      <c r="AB11" s="19"/>
      <c r="AC11" s="5"/>
      <c r="AD11" s="19"/>
      <c r="AE11" s="5"/>
      <c r="AF11" s="19"/>
      <c r="AG11" s="5"/>
      <c r="AH11" s="5"/>
      <c r="AI11" s="5"/>
      <c r="AJ11" s="5"/>
      <c r="AK11" s="28"/>
    </row>
    <row r="12" spans="1:37" ht="18.75" x14ac:dyDescent="0.25">
      <c r="A12" s="227" t="s">
        <v>171</v>
      </c>
      <c r="B12" s="228"/>
      <c r="C12" s="228"/>
      <c r="D12" s="228"/>
      <c r="E12" s="228"/>
      <c r="F12" s="229"/>
      <c r="G12" s="11"/>
      <c r="H12" s="230" t="s">
        <v>172</v>
      </c>
      <c r="I12" s="226"/>
      <c r="J12" s="231"/>
      <c r="K12" s="11"/>
      <c r="L12" s="22" t="s">
        <v>173</v>
      </c>
      <c r="M12" s="11"/>
      <c r="N12" s="226" t="s">
        <v>174</v>
      </c>
      <c r="O12" s="226"/>
      <c r="P12" s="226"/>
      <c r="Q12" s="11"/>
      <c r="R12" s="230" t="s">
        <v>175</v>
      </c>
      <c r="S12" s="226"/>
      <c r="T12" s="11"/>
      <c r="U12" s="230" t="s">
        <v>176</v>
      </c>
      <c r="V12" s="226"/>
      <c r="W12" s="226"/>
      <c r="X12" s="24"/>
      <c r="Y12" s="232" t="s">
        <v>177</v>
      </c>
      <c r="Z12" s="228"/>
      <c r="AA12" s="229"/>
      <c r="AB12" s="24"/>
      <c r="AC12" s="232" t="s">
        <v>178</v>
      </c>
      <c r="AD12" s="228"/>
      <c r="AE12" s="228"/>
      <c r="AF12" s="24"/>
      <c r="AG12" s="5"/>
      <c r="AH12" s="5"/>
      <c r="AI12" s="5"/>
      <c r="AJ12" s="5"/>
      <c r="AK12" s="28"/>
    </row>
    <row r="13" spans="1:37" x14ac:dyDescent="0.25">
      <c r="A13" s="12"/>
      <c r="B13" s="13"/>
      <c r="C13" s="13"/>
      <c r="D13" s="13"/>
      <c r="E13" s="13"/>
      <c r="F13" s="13"/>
      <c r="G13" s="4"/>
      <c r="H13" s="4"/>
      <c r="I13" s="4"/>
      <c r="J13" s="4"/>
      <c r="K13" s="4"/>
      <c r="L13" s="4"/>
      <c r="M13" s="4"/>
      <c r="N13" s="4"/>
      <c r="O13" s="4"/>
      <c r="P13" s="23"/>
      <c r="Q13" s="4"/>
      <c r="R13" s="23"/>
      <c r="S13" s="4"/>
      <c r="T13" s="23"/>
      <c r="U13" s="4"/>
      <c r="V13" s="23"/>
      <c r="W13" s="4"/>
      <c r="X13" s="23"/>
      <c r="Y13" s="4"/>
      <c r="Z13" s="23"/>
      <c r="AA13" s="4"/>
      <c r="AB13" s="23"/>
      <c r="AC13" s="4"/>
      <c r="AD13" s="23"/>
      <c r="AE13" s="4"/>
      <c r="AF13" s="23"/>
      <c r="AG13" s="4"/>
      <c r="AH13" s="4"/>
      <c r="AI13" s="4"/>
      <c r="AJ13" s="4"/>
      <c r="AK13" s="29"/>
    </row>
    <row r="14" spans="1:37" x14ac:dyDescent="0.25">
      <c r="K14" t="s">
        <v>179</v>
      </c>
    </row>
    <row r="15" spans="1:37" x14ac:dyDescent="0.25">
      <c r="A15" t="s">
        <v>180</v>
      </c>
    </row>
    <row r="16" spans="1:37" ht="30" x14ac:dyDescent="0.25">
      <c r="A16" s="14" t="str">
        <f>Лист1!$G$1</f>
        <v>Male or Female</v>
      </c>
      <c r="D16">
        <f>Лист1!$X$1</f>
        <v>0</v>
      </c>
      <c r="I16" t="e">
        <f>Лист1!#REF!</f>
        <v>#REF!</v>
      </c>
      <c r="Q16" t="e">
        <f>Лист1!#REF!</f>
        <v>#REF!</v>
      </c>
      <c r="W16" t="e">
        <f>Лист1!#REF!</f>
        <v>#REF!</v>
      </c>
      <c r="AA16" t="e">
        <f>Лист1!#REF!</f>
        <v>#REF!</v>
      </c>
      <c r="AE16">
        <f>Лист1!$AL$1</f>
        <v>0</v>
      </c>
    </row>
    <row r="17" spans="1:31" ht="45" x14ac:dyDescent="0.25">
      <c r="A17" s="15" t="str">
        <f>Лист1!$H$1</f>
        <v>Consanguineous
marriage</v>
      </c>
      <c r="D17" t="s">
        <v>181</v>
      </c>
      <c r="I17" t="e">
        <f>Лист1!#REF!</f>
        <v>#REF!</v>
      </c>
      <c r="Q17" t="e">
        <f>Лист1!#REF!</f>
        <v>#REF!</v>
      </c>
      <c r="W17" t="e">
        <f>Лист1!#REF!</f>
        <v>#REF!</v>
      </c>
      <c r="AA17" t="e">
        <f>Лист1!#REF!</f>
        <v>#REF!</v>
      </c>
      <c r="AE17" t="str">
        <f>Лист1!$AM$1</f>
        <v>Behavior</v>
      </c>
    </row>
    <row r="18" spans="1:31" x14ac:dyDescent="0.25">
      <c r="A18" s="14" t="e">
        <f>Лист1!#REF!</f>
        <v>#REF!</v>
      </c>
      <c r="D18" t="e">
        <f>Лист1!#REF!</f>
        <v>#REF!</v>
      </c>
      <c r="I18" t="e">
        <f>Лист1!#REF!</f>
        <v>#REF!</v>
      </c>
      <c r="Q18" t="e">
        <f>Лист1!#REF!</f>
        <v>#REF!</v>
      </c>
      <c r="W18" t="e">
        <f>Лист1!#REF!</f>
        <v>#REF!</v>
      </c>
      <c r="AA18" t="e">
        <f>Лист1!#REF!</f>
        <v>#REF!</v>
      </c>
      <c r="AE18">
        <f>Лист1!$AN$1</f>
        <v>0</v>
      </c>
    </row>
    <row r="19" spans="1:31" ht="75" x14ac:dyDescent="0.25">
      <c r="A19" s="14" t="str">
        <f>Лист1!$J$1</f>
        <v>Hereditary diseases in families</v>
      </c>
      <c r="D19" t="e">
        <f>Лист1!#REF!</f>
        <v>#REF!</v>
      </c>
      <c r="I19" t="e">
        <f>Лист1!#REF!</f>
        <v>#REF!</v>
      </c>
      <c r="Q19" t="e">
        <f>Лист1!#REF!</f>
        <v>#REF!</v>
      </c>
      <c r="W19" t="e">
        <f>Лист1!#REF!</f>
        <v>#REF!</v>
      </c>
      <c r="AA19" t="str">
        <f>Лист1!$Y$1</f>
        <v>Motor development of the child</v>
      </c>
      <c r="AE19" t="str">
        <f>Лист1!$AU$1</f>
        <v>When did the first seizure occur?</v>
      </c>
    </row>
    <row r="20" spans="1:31" ht="30" x14ac:dyDescent="0.25">
      <c r="A20" s="14" t="str">
        <f>Лист1!$K$1</f>
        <v>If yes, describe</v>
      </c>
      <c r="D20" t="e">
        <f>Лист1!#REF!</f>
        <v>#REF!</v>
      </c>
      <c r="I20" t="e">
        <f>Лист1!#REF!</f>
        <v>#REF!</v>
      </c>
      <c r="Q20" t="e">
        <f>Лист1!#REF!</f>
        <v>#REF!</v>
      </c>
      <c r="W20" t="e">
        <f>Лист1!#REF!</f>
        <v>#REF!</v>
      </c>
      <c r="AA20">
        <f>Лист1!$AA$1</f>
        <v>0</v>
      </c>
      <c r="AE20">
        <f>Лист1!$AT$1</f>
        <v>0</v>
      </c>
    </row>
    <row r="21" spans="1:31" x14ac:dyDescent="0.25">
      <c r="A21" s="14">
        <f>Лист1!$O$2</f>
        <v>4</v>
      </c>
      <c r="D21" t="e">
        <f>Лист1!#REF!</f>
        <v>#REF!</v>
      </c>
      <c r="I21" t="e">
        <f>Лист1!#REF!</f>
        <v>#REF!</v>
      </c>
      <c r="Q21" t="e">
        <f>Лист1!#REF!</f>
        <v>#REF!</v>
      </c>
      <c r="W21" t="e">
        <f>Лист1!#REF!</f>
        <v>#REF!</v>
      </c>
      <c r="AA21" t="str">
        <f>Лист1!$AF$1</f>
        <v>Cognitive development of the child</v>
      </c>
      <c r="AE21">
        <f>Лист1!$AQ$1</f>
        <v>0</v>
      </c>
    </row>
    <row r="22" spans="1:31" x14ac:dyDescent="0.25">
      <c r="A22" s="16" t="s">
        <v>182</v>
      </c>
      <c r="D22" t="e">
        <f>Лист1!#REF!</f>
        <v>#REF!</v>
      </c>
      <c r="I22" t="e">
        <f>Лист1!#REF!</f>
        <v>#REF!</v>
      </c>
      <c r="Q22" t="e">
        <f>Лист1!#REF!</f>
        <v>#REF!</v>
      </c>
      <c r="W22" t="e">
        <f>Лист1!#REF!</f>
        <v>#REF!</v>
      </c>
      <c r="AA22">
        <f>Лист1!$AJ$1</f>
        <v>0</v>
      </c>
      <c r="AE22" t="str">
        <f>Лист1!$AV$1</f>
        <v>How long duration</v>
      </c>
    </row>
    <row r="23" spans="1:31" x14ac:dyDescent="0.25">
      <c r="AE23" t="e">
        <f>Лист1!#REF!</f>
        <v>#REF!</v>
      </c>
    </row>
    <row r="24" spans="1:31" x14ac:dyDescent="0.25">
      <c r="F24" t="e">
        <f>Лист1!#REF!</f>
        <v>#REF!</v>
      </c>
      <c r="I24">
        <f>Лист1!$CF$1</f>
        <v>0</v>
      </c>
      <c r="AE24" t="str">
        <f>Лист1!$AW$1</f>
        <v>Developmental delay  before the first seizure.</v>
      </c>
    </row>
    <row r="25" spans="1:31" x14ac:dyDescent="0.25">
      <c r="A25" t="e">
        <f>Лист1!#REF!</f>
        <v>#REF!</v>
      </c>
      <c r="F25" t="e">
        <f>Лист1!#REF!</f>
        <v>#REF!</v>
      </c>
      <c r="AE25" t="e">
        <f>Лист1!#REF!</f>
        <v>#REF!</v>
      </c>
    </row>
    <row r="26" spans="1:31" x14ac:dyDescent="0.25">
      <c r="A26" t="e">
        <f>Лист1!#REF!</f>
        <v>#REF!</v>
      </c>
      <c r="F26">
        <f>Лист1!$BZ$1</f>
        <v>0</v>
      </c>
      <c r="AE26" t="e">
        <f>Лист1!#REF!</f>
        <v>#REF!</v>
      </c>
    </row>
    <row r="27" spans="1:31" x14ac:dyDescent="0.25">
      <c r="A27" t="e">
        <f>Лист1!#REF!</f>
        <v>#REF!</v>
      </c>
      <c r="F27">
        <f>Лист1!$CA$1</f>
        <v>0</v>
      </c>
      <c r="AE27" t="e">
        <f>Лист1!#REF!</f>
        <v>#REF!</v>
      </c>
    </row>
    <row r="28" spans="1:31" x14ac:dyDescent="0.25">
      <c r="A28" t="e">
        <f>Лист1!#REF!</f>
        <v>#REF!</v>
      </c>
      <c r="F28" t="str">
        <f>Лист1!$BW$1</f>
        <v>Generalized(G)</v>
      </c>
      <c r="AE28">
        <f>Лист1!$BX$1</f>
        <v>0</v>
      </c>
    </row>
    <row r="29" spans="1:31" x14ac:dyDescent="0.25">
      <c r="A29" t="e">
        <f>Лист1!#REF!</f>
        <v>#REF!</v>
      </c>
      <c r="F29">
        <f>Лист1!$CC$1</f>
        <v>0</v>
      </c>
      <c r="AE29">
        <f>Лист1!$BY$1</f>
        <v>0</v>
      </c>
    </row>
    <row r="30" spans="1:31" x14ac:dyDescent="0.25">
      <c r="A30" t="e">
        <f>Лист1!#REF!</f>
        <v>#REF!</v>
      </c>
      <c r="F30">
        <f>Лист1!$CD$1</f>
        <v>0</v>
      </c>
      <c r="AE30" t="e">
        <f>Лист1!#REF!</f>
        <v>#REF!</v>
      </c>
    </row>
    <row r="31" spans="1:31" x14ac:dyDescent="0.25">
      <c r="A31" t="e">
        <f>Лист1!#REF!</f>
        <v>#REF!</v>
      </c>
    </row>
    <row r="32" spans="1:31" x14ac:dyDescent="0.25">
      <c r="A32" t="e">
        <f>Лист1!#REF!</f>
        <v>#REF!</v>
      </c>
    </row>
    <row r="33" spans="1:1" x14ac:dyDescent="0.25">
      <c r="A33" t="e">
        <f>Лист1!#REF!</f>
        <v>#REF!</v>
      </c>
    </row>
  </sheetData>
  <mergeCells count="24">
    <mergeCell ref="Y12:AA12"/>
    <mergeCell ref="AC12:AE12"/>
    <mergeCell ref="A12:F12"/>
    <mergeCell ref="H12:J12"/>
    <mergeCell ref="N12:P12"/>
    <mergeCell ref="R12:S12"/>
    <mergeCell ref="U12:W12"/>
    <mergeCell ref="AH4:AK4"/>
    <mergeCell ref="A5:G5"/>
    <mergeCell ref="H5:AK5"/>
    <mergeCell ref="A9:F9"/>
    <mergeCell ref="O11:X11"/>
    <mergeCell ref="A4:C4"/>
    <mergeCell ref="D4:K4"/>
    <mergeCell ref="L4:O4"/>
    <mergeCell ref="P4:AB4"/>
    <mergeCell ref="AC4:AG4"/>
    <mergeCell ref="A1:AK1"/>
    <mergeCell ref="A3:C3"/>
    <mergeCell ref="D3:K3"/>
    <mergeCell ref="L3:O3"/>
    <mergeCell ref="P3:AB3"/>
    <mergeCell ref="AC3:AG3"/>
    <mergeCell ref="AH3:AK3"/>
  </mergeCells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3D3F7BF-231D-4786-A2F4-97FC074E53C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Samadov Furkat</dc:creator>
  <cp:lastModifiedBy>USER</cp:lastModifiedBy>
  <dcterms:created xsi:type="dcterms:W3CDTF">2025-02-21T13:25:00Z</dcterms:created>
  <dcterms:modified xsi:type="dcterms:W3CDTF">2026-01-07T05:12:30Z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85541E0CE8754C7B8B37F9B018898BFD_13</vt:lpwstr>
  </property>
  <property fmtid="{D5CDD505-2E9C-101B-9397-08002B2CF9AE}" pid="3" name="KSOProductBuildVer">
    <vt:lpwstr>1049-12.2.0.23196</vt:lpwstr>
  </property>
</Properties>
</file>